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<sst xmlns="http://schemas.openxmlformats.org/spreadsheetml/2006/main" count="468" uniqueCount="236">
  <si>
    <t xml:space="preserve">Lịch nội dung TikTok Adtek</t>
  </si>
  <si>
    <t xml:space="preserve">Cập nhật</t>
  </si>
  <si>
    <t xml:space="preserve">07/10/2026. Kênh @adtek.growth.marketing. Mỗi ngày 1 video từ 07/10/2026.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</si>
  <si>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</si>
  <si>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</si>
  <si>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</si>
  <si>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</si>
  <si>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</si>
  <si>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</si>
  <si>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</si>
  <si>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</si>
  <si>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</si>
  <si>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</si>
  <si>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</si>
  <si>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</si>
  <si>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</si>
  <si>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</si>
  <si>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</si>
  <si>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</si>
  <si>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</si>
  <si>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</si>
  <si>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</si>
  <si>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</si>
  <si>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</si>
  <si>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</si>
  <si>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</si>
  <si>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</si>
  <si>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</si>
  <si>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</si>
  <si>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</si>
  <si>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</si>
  <si>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</si>
  <si>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Tư</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</si>
  <si>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</si>
  <si>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</si>
  <si>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</si>
  <si>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</si>
  <si>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</si>
  <si>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</si>
  <si>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</si>
  <si>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Đăng sớm ngày 07/10/2026 (lịch gốc 09/10)
• Giọng v4 chưa huấn luyện; video trên trang hub</t>
  </si>
  <si>
    <t xml:space="preserve">marketing khu công nghiệp; thu hút fdi</t>
  </si>
  <si>
    <t xml:space="preserve">Thấp, giá trị cao</t>
  </si>
  <si>
    <t xml:space="preserve">Thứ Năm</t>
  </si>
  <si>
    <t xml:space="preserve">Khách hàng của bạn đang hỏi AI</t>
  </si>
  <si>
    <t xml:space="preserve">Khi khách hỏi AI nên mua gì, thương hiệu của bạn có được nhắc tên không?</t>
  </si>
  <si>
    <t xml:space="preserve">• 78.4% người tiêu dùng Gen Y, Gen Z đã dùng AI khi mua sắm; dùng để tìm hiểu sản phẩm 44.4%, gợi ý 23.5%, so sánh 19.8%
• 81% người Việt tương tác với AI mỗi ngày (Indonesia 80%, Thái Lan 76%, Singapore 65%); 42% lo bảo mật khi để AI làm thay (Đông Nam Á 50%); 96% sẵn sàng chia sẻ dữ liệu với AI</t>
  </si>
  <si>
    <t xml:space="preserve">• Vietnam Report, khảo sát người tiêu dùng ngành bán lẻ, 08/2026
• Google, Temasek, Bain &amp; Company, e-Conomy SEA 2025, trang 143 (khảo sát Google và Milieu, 09/2025, 7,200 người)</t>
  </si>
  <si>
    <t xml:space="preserve">https://vietnamreport.net.vn/Top-10-Cong-ty-uy-tin-nganh-Ban-le-nam-2026-12576-1006.html
https://services.google.com/fh/files/misc/e_conomy_sea_2025_report_combined.pdf</t>
  </si>
  <si>
    <t xml:space="preserve">• Đã mở trang gốc, khớp số liệu (08/10/2026)
• Đã mở báo cáo gốc; Thái Lan là 76% (bản trước ghi 74% là sai)</t>
  </si>
  <si>
    <t xml:space="preserve">• Đã đăng ngày 08/10/2026, bản cũ (900 triệu người dùng ChatGPT). Bản viết lại bằng số liệu Việt Nam không dùng vì trùng chủ đề</t>
  </si>
  <si>
    <t xml:space="preserve">chatgpt; ai mode; người việt dùng ai</t>
  </si>
  <si>
    <t xml:space="preserve">Cao</t>
  </si>
  <si>
    <t xml:space="preserve">Growth Marketing</t>
  </si>
  <si>
    <t xml:space="preserve">Khách bỏ đi ở phút cuối</t>
  </si>
  <si>
    <t xml:space="preserve">Vì sao khách bỏ hàng vào giỏ rồi lại không thanh toán?</t>
  </si>
  <si>
    <t xml:space="preserve">• 89.5% so giá nhiều nơi trước khi mua; 39.5% hoãn mua chờ khuyến mãi
• 1/2 bỏ giỏ khi gặp phí phát sinh; 49% bỏ nếu shop chưa có đánh giá; 46% nếu đổi trả không rõ; 53% coi trọng giao đúng hẹn hơn phí ship rẻ (45%); 7/10 sẵn sàng chi nhiều hơn cho shop dịch vụ đáng tin; 1/3 ngừng mua sau trải nghiệm tệ</t>
  </si>
  <si>
    <t xml:space="preserve">• Vietnam Report, khảo sát người tiêu dùng ngành bán lẻ, 08/2026
• Milieu Insight, Vietnam's online shoppers demand speed and reliability in 2025, 09/2025
• Baymard Institute (số Mỹ, chỉ trong phần Làm gì ngay); Klaviyo 2026</t>
  </si>
  <si>
    <t xml:space="preserve">https://vietnamreport.net.vn/Top-10-Cong-ty-uy-tin-nganh-Ban-le-nam-2026-12576-1006.html
https://www.mili.eu/vn/insights/vietnams-online-shoppers-demand-speed-and-reliability-in-2025
https://baymard.com/lists/cart-abandonment-rate</t>
  </si>
  <si>
    <t xml:space="preserve">• Đã mở trang gốc, khớp số liệu (08/10/2026)</t>
  </si>
  <si>
    <t xml:space="preserve">• Đã đăng ngày 08/10/2026, bản cũ (7/10 giỏ hàng, số Baymard). Bản viết lại bằng số liệu Việt Nam không dùng vì trùng chủ đề</t>
  </si>
  <si>
    <t xml:space="preserve">bỏ giỏ hàng; tăng tỷ lệ chuyển đổi; cá nhân hóa</t>
  </si>
  <si>
    <t xml:space="preserve">Thứ Sáu</t>
  </si>
  <si>
    <t xml:space="preserve">Đã dời sang 22/10: Khách muốn nhắn tin trước khi mua</t>
  </si>
  <si>
    <t xml:space="preserve">Dời lịch</t>
  </si>
  <si>
    <t xml:space="preserve">Thứ Bảy</t>
  </si>
  <si>
    <t xml:space="preserve">Growth, Performance</t>
  </si>
  <si>
    <t xml:space="preserve">Khách so giá, chờ sale (đố số liệu)</t>
  </si>
  <si>
    <t xml:space="preserve">Đoán thử: bao nhiêu % người Việt so giá ở nhiều nơi trước khi mua?</t>
  </si>
  <si>
    <t xml:space="preserve">• 89.5% so giá nhiều nơi trước khi mua; 39.5% hoãn mua chờ khuyến mãi
• 65% mua online mỗi tuần (Đông Nam Á 50%); lý do mua: giảm giá 64%, ship rẻ 55%, nhiều lựa chọn 52% (khu vực 47%)</t>
  </si>
  <si>
    <t xml:space="preserve">• Vietnam Report, khảo sát người tiêu dùng ngành bán lẻ, 08/2026
• Milieu Insight, 09/2025</t>
  </si>
  <si>
    <t xml:space="preserve">https://vietnamreport.net.vn/Top-10-Cong-ty-uy-tin-nganh-Ban-le-nam-2026-12576-1006.html
https://www.mili.eu/vn/insights/vietnams-online-shoppers-demand-speed-and-reliability-in-2025</t>
  </si>
  <si>
    <t xml:space="preserve">• Video mẫu kiểu đố số liệu (scripts/khach-so-gia-cho-sale/1.json)
• Giọng v4 chưa huấn luyện; video trên trang hub
• Đã nhắc</t>
  </si>
  <si>
    <t xml:space="preserve">so sánh giá; săn sale; khuyến mãi</t>
  </si>
  <si>
    <t xml:space="preserve">Chủ nhật</t>
  </si>
  <si>
    <t xml:space="preserve">Digital, Performance</t>
  </si>
  <si>
    <t xml:space="preserve">Thuê KOL nổi tiếng là khách sẽ tin? (phá hiểu lầm)</t>
  </si>
  <si>
    <t xml:space="preserve">"Cứ thuê KOL nổi tiếng là khách sẽ tin và chốt đơn." Đúng hay sai?</t>
  </si>
  <si>
    <t xml:space="preserve">• 54% tin đánh giá của người dùng thường hơn KOL, chỉ 13% nghiêng về người nổi tiếng
• 78% bị đánh giá online ảnh hưởng mạnh tới lựa chọn (87% ở tuổi 20)
• Đánh giá đáng tin: có ảnh/video 69%, nội dung chi tiết 60%, số sao 51%; dưới 3.6 sao bị loại; 74% cần từ 50 đánh giá
• 67% tự tin nhận ra đánh giá giả</t>
  </si>
  <si>
    <t xml:space="preserve">• Q&amp;Me, How Vietnamese consumers trust online reviews, khoảng 09/2026, 200 người 20-49 tuổi tại Hà Nội và TP.HCM
• Việc làm ngay: Google Business Profile Help (xin đánh giá bằng link/QR, cấm tặng quà đổi đánh giá, trả lời đánh giá); TikTok Ads Help (Spark Ads dùng video của khách, nhà sáng tạo nhỏ)</t>
  </si>
  <si>
    <t xml:space="preserve">https://qandme.net/en/report/how-vietnamese-consumers-trust-online-reviews.html
https://support.google.com/business/answer/3474122
https://support.google.com/business/answer/3474050
https://ads.tiktok.com/help/article/spark-ads</t>
  </si>
  <si>
    <t xml:space="preserve">• Đã mở trang gốc, khớp số liệu (09/10/2026). Báo cáo đầy đủ cần đăng ký, chỉ kiểm tra phần tóm tắt</t>
  </si>
  <si>
    <t xml:space="preserve">• Kiểu phá hiểu lầm, đóng dấu SAI
• Mẫu nhỏ (200 người, chỉ HN và HCM), phải ghi rõ trên video
• Ngày phát hành ước tính cuối 09/2026 Đã nhắc
• Ngày 11/10 đăng thêm video "Giá quảng cáo Meta +12%, có nên giao hết cho Advantage+?" (vốn xếp lịch 14/10)</t>
  </si>
  <si>
    <t xml:space="preserve">kol; review sản phẩm; đánh giá 5 sao; chốt đơn</t>
  </si>
  <si>
    <t xml:space="preserve">Thứ Hai</t>
  </si>
  <si>
    <t xml:space="preserve">Performance, Growth</t>
  </si>
  <si>
    <t xml:space="preserve">Chưa tới 3% gian hàng nắm 1/3 doanh số sàn</t>
  </si>
  <si>
    <t xml:space="preserve">Trên Shopee, TikTok Shop, Lazada, cứ 100 gian hàng thì chưa tới 3 shop Mall. Họ đang nắm bao nhiêu phần doanh số?</t>
  </si>
  <si>
    <t xml:space="preserve">• Shop Mall: 2.79% số gian hàng nhưng 34.2% doanh số (Shopee, Lazada, TikTok Shop, 6 tháng 2026); số shop Mall giảm 6%, doanh số tăng 54%
• 4 sàn đạt 291.6 nghìn tỷ đồng, tăng 44.11%; 613.8 nghìn shop có đơn
• Thị phần GMV: Shopee 54.5% (+15%), TikTok Shop 43.4% (+27%); TikTok Shop nắm 56.2% ngành thời trang
• Hàng trên 1 triệu đồng chiếm 18.2% doanh số (+3.1 điểm)</t>
  </si>
  <si>
    <t xml:space="preserve">• Metric, Báo cáo TMĐT Việt Nam 6 tháng đầu năm 2026, 29/07/2026
• YouNet ECI, Toàn cảnh TMĐT Việt Nam nửa đầu năm 2026, 12/08/2026
• Việc làm ngay: TikTok Shop Seller University (Mall, lịch 11.11 từ 03-12/11 và 12.12, Cộng tác mở); Shopee Help (tiếp thị liên kết trả theo đơn)</t>
  </si>
  <si>
    <t xml:space="preserve">https://metric.vn/insights/metric-bao-cao-thuong-mai-dien-tu-viet-nam-6-thang-dau-nam-2026/
https://www.younetgroup.com/vi/bao-cao-toan-canh-tmdt-viet-nam-nua-dau-nam-2026
https://seller-vn.tiktok.com/university/essay?knowledge_id=6210902215264001</t>
  </si>
  <si>
    <t xml:space="preserve">• Đã mở trang gốc, khớp số liệu (09/10/2026)</t>
  </si>
  <si>
    <t xml:space="preserve">• Metric (doanh số, +44%) và YouNet (GMV, +19%) đo khác nhau: không đặt chung một biểu đồ
• Tỷ lệ Mall tính trên 3 sàn, không phải 4
• Đã nhắc</t>
  </si>
  <si>
    <t xml:space="preserve">shopee mall; tiktok shop mall; bán hàng trên sàn 2026</t>
  </si>
  <si>
    <t xml:space="preserve">Đã có video</t>
  </si>
  <si>
    <t xml:space="preserve">Thứ Ba</t>
  </si>
  <si>
    <t xml:space="preserve">Quảng cáo nền tảng nào tiếp cận nhiều người Việt nhất? (đố số liệu)</t>
  </si>
  <si>
    <t xml:space="preserve">Đoán thử: quảng cáo trên nền tảng nào tiếp cận nhiều người Việt nhất? A. TikTok, B. Facebook, C. YouTube</t>
  </si>
  <si>
    <t xml:space="preserve">• Lượng người quảng cáo có thể tiếp cận: Facebook 79.0 triệu, TikTok 76.1 triệu (18+), YouTube 62.1 triệu, Messenger 57.8 triệu (cuối 2025)
• Thời gian dùng mỗi ngày (Android, 08/2025): TikTok 1 giờ 56 phút, YouTube 1 giờ 21 phút, Facebook 1 giờ 11 phút
• 84.9% người dùng internet tìm thông tin thương hiệu trên mạng xã hội
• Zalo 81.3 triệu người dùng tháng (quý 2/2026, VNG): là số người dùng, không so trực tiếp với số tiếp cận quảng cáo</t>
  </si>
  <si>
    <t xml:space="preserve">• DataReportal, Digital 2026: Vietnam (số liệu đến 10/2025)
• VNG, Snapshot quý 2/2026
• Việc làm ngay: TikTok Spark Ads; Google Ads Demand Gen (YouTube Shorts, Lookalike); Zalo Business Message</t>
  </si>
  <si>
    <t xml:space="preserve">https://datareportal.com/reports/digital-2026-vietnam
https://cms-investor-cdn.vng.com.vn/VNG_Snapshot_Q2_2026_EN_8dc74b151d.pdf
https://support.google.com/google-ads/answer/13695777
https://zalo.solutions/business-message</t>
  </si>
  <si>
    <t xml:space="preserve">• Kiểu đố số liệu, ảnh bìa không lộ đáp án
• Số tiếp cận quảng cáo không phải số người dùng thật, có thể trùng; ghi rõ
• Tránh lặp quảng cáo Click-to-Messenger (đã nói trong video nhắn tin 09/10)
• Đã nhắc</t>
  </si>
  <si>
    <t xml:space="preserve">quảng cáo facebook hay tiktok; chạy quảng cáo youtube; zalo ads</t>
  </si>
  <si>
    <t xml:space="preserve">Performance, Digital</t>
  </si>
  <si>
    <t xml:space="preserve">Livestream: chỉ 13% khách mua ngẫu hứng</t>
  </si>
  <si>
    <t xml:space="preserve">Livestream sống nhờ khách mua ngẫu hứng?</t>
  </si>
  <si>
    <t xml:space="preserve">• Chỉ 13% mua ngẫu hứng; 47% đang cân nhắc; 40% định mua từ trước
• 650,000 người bán và cửa hàng bán qua video (+60%), 1.3 tỷ giao dịch
• 50% chủ yếu mua từ tài khoản chính thức của thương hiệu
• Luật TMĐT 122/2025 (từ 01/07/2026): xác thực người live, lưu buổi live 1 năm; Nghị định 87/2026: người có ảnh hưởng giới thiệu hàng chưa dùng phạt 80-100 triệu, tổ chức gấp đôi</t>
  </si>
  <si>
    <t xml:space="preserve">• Q&amp;Me, Live commerce, 04/2026, 245 người (mẫu nhỏ)
• e-Conomy SEA 2025, trang 144
• Luật Thương mại điện tử 122/2025/QH15; Nghị định 87/2026/NĐ-CP (vanban.chinhphu.vn)
• Việc làm ngay: TikTok Shop Seller University</t>
  </si>
  <si>
    <t xml:space="preserve">https://qandme.net/vi/baibaocao/xu-huong-live-commerce-va-hanh-vi-nguoi-mua-viet-nam.html
https://services.google.com/fh/files/misc/e_conomy_sea_2025_report_combined.pdf</t>
  </si>
  <si>
    <t xml:space="preserve">• Đã mở trang gốc (10/10/2026)</t>
  </si>
  <si>
    <t xml:space="preserve">• Nội dung pháp lý, nên nhờ luật sư duyệt câu chữ
• Mẫu Q&amp;Me nhỏ, ghi rõ trên video</t>
  </si>
  <si>
    <t xml:space="preserve">livestream bán hàng; luật livestream; kol bị phạt</t>
  </si>
  <si>
    <t xml:space="preserve">App Marketing</t>
  </si>
  <si>
    <t xml:space="preserve">Thị trường app Việt Nam đã chạm đỉnh?</t>
  </si>
  <si>
    <t xml:space="preserve">Thị trường app Việt Nam đã chạm đỉnh? Tiền quảng cáo app nên đổ vào đâu?</t>
  </si>
  <si>
    <t xml:space="preserve">• Lượt cài +136% từ 2018, 2.17 tỷ năm 2024, giảm nhẹ 2025
• iOS 22% lên 33% (2017-2025); app tài chính iOS 54.5%
• Quý 2/2026 ngân sách kéo người dùng Android: tài chính +153%, giải trí +194%, game -46%</t>
  </si>
  <si>
    <t xml:space="preserve">• AppsFlyer, State of App Marketing in Vietnam 2025, 11/2025
• AppsFlyer, State of Marketing in APAC 2026, 09/2026
• Việc làm ngay: Apple custom product pages, Play Console custom store listings, Google Ads App campaigns engagement, AppsFlyer Cohort</t>
  </si>
  <si>
    <t xml:space="preserve">https://www.appsflyer.com/resources/reports/app-marketing-vietnam-report/
https://www.appsflyer.com/resources/reports/state-of-marketing-apac-report/</t>
  </si>
  <si>
    <t xml:space="preserve">• Biểu đồ xu hướng dùng chỉ số quy đổi của AppsFlyer, đã ghi rõ
• Số liệu là lượt cài AppsFlyer đo được, không phải toàn thị trường</t>
  </si>
  <si>
    <t xml:space="preserve">thị trường app việt nam; quảng cáo app; iphone hay android</t>
  </si>
  <si>
    <t xml:space="preserve">Trung bình</t>
  </si>
  <si>
    <t xml:space="preserve">Bao nhiêu lượt cài app là gian lận? (đố số liệu)</t>
  </si>
  <si>
    <t xml:space="preserve">Cứ 100 lượt cài app ở Việt Nam, bao nhiêu lượt là gian lận? A 5, B 20, C 50</t>
  </si>
  <si>
    <t xml:space="preserve">• Việt Nam 20% (quý 1/2026), từ 29%; Indonesia 17% xuống 13%
• App tài chính Việt Nam 46% vs 22% châu Á Thái Bình Dương (2025)
• Toàn cầu: 52% lượt cài gian lận nằm ở nguồn tự nhiên, affiliate gần 40%</t>
  </si>
  <si>
    <t xml:space="preserve">• AppsFlyer, State of Fraud for Marketers 2026, 06/2026
• AppsFlyer, State of Finance for Marketers APAC 2026
• Việc làm ngay: AppsFlyer Protect360 và Validation Rules, Adjust Fraud Prevention, Apple AdAttributionKit</t>
  </si>
  <si>
    <t xml:space="preserve">https://www.appsflyer.com/resources/reports/state-fraud-marketers-report/
https://www.appsflyer.com/resources/reports/apac-finance-marketing-report/</t>
  </si>
  <si>
    <t xml:space="preserve">• Kiểu đố số liệu, ảnh bìa không lộ đáp án
• Tỷ lệ 20% là toàn thị trường, có thể chỉ Android; mức giảm một phần do một đường dây gian lận bị chặn</t>
  </si>
  <si>
    <t xml:space="preserve">gian lận quảng cáo; cpi là gì; marketing app tài chính</t>
  </si>
  <si>
    <t xml:space="preserve">App Marketing, Digital</t>
  </si>
  <si>
    <t xml:space="preserve">Người Việt sống trong app 127 tỷ giờ</t>
  </si>
  <si>
    <t xml:space="preserve">Một năm, người Việt dành bao nhiêu giờ trong app?</t>
  </si>
  <si>
    <t xml:space="preserve">• 127 tỷ giờ dùng app năm 2025 (thế giới khoảng 3.6 giờ/người/ngày)
• Mỗi lần mở app giải trí 24.46 phút (quý 1/2026), Đông Nam Á 14.28 phút
• App giải trí quý 1/2026: lượt cài +32%, số lần mở +76%
• Chỉ 8% quay lại ngày hôm sau, ngày 30 còn 1%</t>
  </si>
  <si>
    <t xml:space="preserve">• Adjust, Mobile app trends spotlight: Vietnam 2026 (PDF 26/05/2026)
• Sensor Tower, State of Mobile 2026
• Việc làm ngay: GA4 Cohort exploration, Firebase In-App Messaging, Google Ads App campaigns engagement, Apple In-App Events</t>
  </si>
  <si>
    <t xml:space="preserve">https://www.adjust.com/blog/vietnam-app-trends-2026/
https://sensortower.com/blog/state-of-mobile-2026</t>
  </si>
  <si>
    <t xml:space="preserve">• adjust.com chặn truy cập tự động (lỗi 429); đã đọc file PDF gốc của Adjust qua bản đăng lại, khớp số liệu</t>
  </si>
  <si>
    <t xml:space="preserve">• Số liệu chỉ gồm app Adjust đo được</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</si>
  <si>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</si>
  <si>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</si>
  <si>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</si>
  <si>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</si>
  <si>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</si>
  <si>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</si>
  <si>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</si>
  <si>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</si>
  <si>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</si>
  <si>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</si>
  <si>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Ý tưởng</t>
  </si>
  <si>
    <t xml:space="preserve">Bản đồ: kinh tế số Việt Nam tăng 17%, nhanh thứ 2 Đông Nam Á</t>
  </si>
  <si>
    <t xml:space="preserve">Kinh tế số Việt Nam tăng nhanh hay chậm so với láng giềng? Năm 2025, con số là 17%.</t>
  </si>
  <si>
    <t xml:space="preserve">Tăng trưởng GMV kinh tế số 2025: Malaysia 19%, Việt Nam 17%, Thái Lan 16%, Philippines 16%, Indonesia 14%, Singapore 7%; Việt Nam 39 tỷ USD (2025, ước tính)</t>
  </si>
  <si>
    <t xml:space="preserve">Google, Temasek, Bain &amp; Company, e-Conomy SEA 2025</t>
  </si>
  <si>
    <t xml:space="preserve">https://services.google.com/fh/files/misc/e_conomy_sea_2025_report_combined.pdf</t>
  </si>
  <si>
    <t xml:space="preserve">Đã mở báo cáo gốc (trang 84 đến 140)</t>
  </si>
  <si>
    <t xml:space="preserve">Số 2025 là ước tính, quy đổi từ 6 tháng đầu năm. Dạng bản đồ.</t>
  </si>
  <si>
    <t xml:space="preserve">kinh tế số việt nam; digital 2026</t>
  </si>
  <si>
    <t xml:space="preserve">Performance</t>
  </si>
  <si>
    <t xml:space="preserve">Chữ động: đừng chạy sale 11.11 nếu chưa biết 3 điều này</t>
  </si>
  <si>
    <t xml:space="preserve">Chỉ còn 3 tuần nữa là 11.11, bạn định chạy sale mà chưa chuẩn bị gì sao?</t>
  </si>
  <si>
    <t xml:space="preserve">10.10.2025: 4 sàn bán 6,608 tỷ đồng, 376,000 gian hàng; khách thêm vào giỏ sớm 3 đến 5 ngày; Meta cần khoảng 50 kết quả trong 1 tuần; Google Ads điều chỉnh thời vụ cho sale 1 đến 7 ngày</t>
  </si>
  <si>
    <t xml:space="preserve">Metric; Meta Business Help Center; Google Ads Help</t>
  </si>
  <si>
    <t xml:space="preserve">https://metric.vn/insights/4-nhom-san-pham-ban-chay-nhat-tren-san-sau-ngay-doi-10-10/</t>
  </si>
  <si>
    <t xml:space="preserve">Đã mở trang gốc</t>
  </si>
  <si>
    <t xml:space="preserve">'Gấp hơn 5 lần' và 'gần 29%' là phép tính từ số Metric. Dạng chữ động.</t>
  </si>
  <si>
    <t xml:space="preserve">SEO</t>
  </si>
  <si>
    <t xml:space="preserve">Đếm ngược: top 5 từ khóa tăng mạnh nhất trên Google năm 2025</t>
  </si>
  <si>
    <t xml:space="preserve">Năm 2025, người Việt tìm gì trên Google tăng mạnh nhất? Đoán thử hạng 1 rồi comment trước nhé.</t>
  </si>
  <si>
    <t xml:space="preserve">Xu hướng chung 2025: 5 Pixverse AI, 4 Gemini, 3 Phụ nữ trong các ngành STEM, 2 Chat GPT, 1 Deep Seek</t>
  </si>
  <si>
    <t xml:space="preserve">Google Year in Search 2025 Việt Nam</t>
  </si>
  <si>
    <t xml:space="preserve">https://trends.withgoogle.com/year-in-search/2025/vn/</t>
  </si>
  <si>
    <t xml:space="preserve">Đã mở trang gốc và trang phương pháp</t>
  </si>
  <si>
    <t xml:space="preserve">Xếp theo mức tăng, không phải lượt tìm. Đăng trước khi có bản 2026 (đầu tháng 12). Dạng đếm ngược.</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</si>
  <si>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</si>
  <si>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</si>
  <si>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</si>
  <si>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Kantar (82.8%, 61.2%, 85.6%) và Holiday Shopping Study của Ipsos (85%, 66%, 44%; 11/2025, 14,473 người), công bố 25/09/2026
• VNG, Snapshot và kết quả kinh doanh quý 2/2026 (81.3 triệu MAU, 2.2 tỷ tin nhắn/ngày, ~30,000 OA, +24%)
• TikTok, SEA Apps Summit 29/10/2025 (70 triệu người dùng hằng tháng)</t>
  </si>
  <si>
    <t xml:space="preserve">https://vietnamnews.vn/economy/1800588/vietnamese-consumers-spread-shopping-across-multiple-peak-season-events.html
https://cms-investor-cdn.vng.com.vn/VNG_Snapshot_Q2_2026_EN_8dc74b151d.pdf
https://bizhub.vietnamnews.vn/tiktok-reaches-70-million-monthly-users-in-viet-nam-post389459.html</t>
  </si>
  <si>
    <t xml:space="preserve">• Kiểm tra lại 13/10/2026: số liệu Meta khớp bài Vietnam News 25/09/2026 (Meta không đăng báo cáo Việt Nam công khai; báo cáo toàn cầu cần điền form)
• VNG: đã mở PDF gốc, khớp 81.3 triệu và 2.2 tỷ; số OA theo công bố kết quả quý 2
• Dòng nguồn trên biểu đồ đã sửa mốc thời gian Kantar và Ipsos</t>
  </si>
  <si>
    <t xml:space="preserve">• Chưa có URL trang gốc của Meta, cần tìm trước khi dựng
• Doanh nghiệp tự công bố
• Giọng v4 chưa huấn luyện; video trên trang hub
• Nằm trong Drafts của TikTok, dời sang 09/10
• Xuất lại 09/10 theo hướng A và C
• Đã nhắc
• Dời từ 09/10 (chưa đăng) sang 22/10 theo anh Tin duyệt 13/10/2026</t>
  </si>
  <si>
    <t xml:space="preserve">quảng cáo tin nhắn; zalo oa; chốt đơn inbox</t>
  </si>
  <si>
    <t xml:space="preserve">Slot trống: chủ đề trend Claude tự chọn khi viết kịch bản thứ Bảy</t>
  </si>
  <si>
    <t xml:space="preserve">Cần chủ đề</t>
  </si>
  <si>
    <t xml:space="preserve">Biểu đồ đua: Shopee và TikTok Shop, khoảng cách 22 điểm còn 11 điểm</t>
  </si>
  <si>
    <t xml:space="preserve">Shopee còn giữ ngôi số 1 được bao lâu? Năm 2024, Shopee chiếm 64% doanh số các sàn, TikTok Shop 29%.</t>
  </si>
  <si>
    <t xml:space="preserve">Thị phần doanh số tháng 1 đến 9/2025: Shopee 59% xuống 54%, TikTok Shop 37% lên 43%; năm 2024: Shopee 64%, TikTok Shop 29%</t>
  </si>
  <si>
    <t xml:space="preserve">Metric</t>
  </si>
  <si>
    <t xml:space="preserve">https://metric.vn/insights/metric-bao-cao-thi-truong-san-thuong-mai-dien-tu-viet-nam-quy-3-2025/</t>
  </si>
  <si>
    <t xml:space="preserve">Đã mở báo cáo và biểu đồ gốc</t>
  </si>
  <si>
    <t xml:space="preserve">Không có lượt vượt mặt. Cách video shop Mall (12/10) hơn 2 tuần. Dạng biểu đồ đua.</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</si>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</sst>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FF4E5"/>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46302</v>
      </c>
      <c r="D5" s="6" t="s">
        <v>33</v>
      </c>
      <c r="E5" s="6" t="s">
        <v>34</v>
      </c>
      <c r="F5" s="6" t="s">
        <v>35</v>
      </c>
      <c r="G5" s="6" t="s">
        <v>36</v>
      </c>
      <c r="H5" s="6" t="s">
        <v>37</v>
      </c>
      <c r="I5" s="6" t="s">
        <v>38</v>
      </c>
      <c r="J5" s="6" t="s">
        <v>39</v>
      </c>
      <c r="K5" s="8" t="s">
        <v>40</v>
      </c>
      <c r="L5" s="6" t="s">
        <v>41</v>
      </c>
      <c r="M5" s="6" t="s">
        <v>42</v>
      </c>
      <c r="N5" s="6" t="s">
        <v>26</v>
      </c>
    </row>
    <row r="6" customFormat="false" ht="102" hidden="false" customHeight="true" outlineLevel="0" collapsed="false">
      <c r="A6" s="6" t="n">
        <v>5</v>
      </c>
      <c r="B6" s="6" t="s">
        <v>43</v>
      </c>
      <c r="C6" s="7" t="n">
        <v>46303</v>
      </c>
      <c r="D6" s="6" t="s">
        <v>27</v>
      </c>
      <c r="E6" s="6" t="s">
        <v>44</v>
      </c>
      <c r="F6" s="6" t="s">
        <v>45</v>
      </c>
      <c r="G6" s="6" t="s">
        <v>46</v>
      </c>
      <c r="H6" s="6" t="s">
        <v>47</v>
      </c>
      <c r="I6" s="6" t="s">
        <v>48</v>
      </c>
      <c r="J6" s="6" t="s">
        <v>49</v>
      </c>
      <c r="K6" s="8" t="s">
        <v>50</v>
      </c>
      <c r="L6" s="6" t="s">
        <v>51</v>
      </c>
      <c r="M6" s="6" t="s">
        <v>52</v>
      </c>
      <c r="N6" s="6" t="s">
        <v>26</v>
      </c>
    </row>
    <row r="7" customFormat="false" ht="102" hidden="false" customHeight="true" outlineLevel="0" collapsed="false">
      <c r="A7" s="6" t="n">
        <v>6</v>
      </c>
      <c r="B7" s="6" t="s">
        <v>43</v>
      </c>
      <c r="C7" s="7" t="n">
        <v>46303</v>
      </c>
      <c r="D7" s="6" t="s">
        <v>53</v>
      </c>
      <c r="E7" s="6" t="s">
        <v>54</v>
      </c>
      <c r="F7" s="6" t="s">
        <v>55</v>
      </c>
      <c r="G7" s="6" t="s">
        <v>56</v>
      </c>
      <c r="H7" s="6" t="s">
        <v>57</v>
      </c>
      <c r="I7" s="6" t="s">
        <v>58</v>
      </c>
      <c r="J7" s="6" t="s">
        <v>59</v>
      </c>
      <c r="K7" s="8" t="s">
        <v>60</v>
      </c>
      <c r="L7" s="6" t="s">
        <v>61</v>
      </c>
      <c r="M7" s="6" t="s">
        <v>52</v>
      </c>
      <c r="N7" s="6" t="s">
        <v>26</v>
      </c>
    </row>
    <row r="8" customFormat="false" ht="68.25" hidden="false" customHeight="true" outlineLevel="0" collapsed="false">
      <c r="A8" s="6" t="n">
        <v>7</v>
      </c>
      <c r="B8" s="6" t="s">
        <v>62</v>
      </c>
      <c r="C8" s="7" t="n">
        <v>46304</v>
      </c>
      <c r="D8" s="6"/>
      <c r="E8" s="6" t="s">
        <v>63</v>
      </c>
      <c r="F8" s="6"/>
      <c r="G8" s="6"/>
      <c r="H8" s="6"/>
      <c r="I8" s="6"/>
      <c r="J8" s="6"/>
      <c r="K8" s="8"/>
      <c r="L8" s="6"/>
      <c r="M8" s="6"/>
      <c r="N8" s="6" t="s">
        <v>64</v>
      </c>
    </row>
    <row r="9" customFormat="false" ht="68.25" hidden="false" customHeight="true" outlineLevel="0" collapsed="false">
      <c r="A9" s="6" t="n">
        <v>8</v>
      </c>
      <c r="B9" s="6" t="s">
        <v>65</v>
      </c>
      <c r="C9" s="7" t="n">
        <v>46305</v>
      </c>
      <c r="D9" s="6" t="s">
        <v>66</v>
      </c>
      <c r="E9" s="6" t="s">
        <v>67</v>
      </c>
      <c r="F9" s="6" t="s">
        <v>68</v>
      </c>
      <c r="G9" s="6" t="s">
        <v>69</v>
      </c>
      <c r="H9" s="6" t="s">
        <v>70</v>
      </c>
      <c r="I9" s="6" t="s">
        <v>71</v>
      </c>
      <c r="J9" s="6" t="s">
        <v>59</v>
      </c>
      <c r="K9" s="8" t="s">
        <v>72</v>
      </c>
      <c r="L9" s="6" t="s">
        <v>73</v>
      </c>
      <c r="M9" s="6" t="s">
        <v>52</v>
      </c>
      <c r="N9" s="6" t="s">
        <v>26</v>
      </c>
    </row>
    <row r="10" customFormat="false" ht="23.25" hidden="false" customHeight="true" outlineLevel="0" collapsed="false">
      <c r="A10" s="9" t="n">
        <v>9</v>
      </c>
      <c r="B10" s="9" t="s">
        <v>74</v>
      </c>
      <c r="C10" s="10" t="n">
        <v>46306</v>
      </c>
      <c r="D10" s="9" t="s">
        <v>75</v>
      </c>
      <c r="E10" s="1" t="s">
        <v>76</v>
      </c>
      <c r="F10" s="9" t="s">
        <v>77</v>
      </c>
      <c r="G10" s="9" t="s">
        <v>78</v>
      </c>
      <c r="H10" s="9" t="s">
        <v>79</v>
      </c>
      <c r="I10" s="9" t="s">
        <v>80</v>
      </c>
      <c r="J10" s="9" t="s">
        <v>81</v>
      </c>
      <c r="K10" s="9" t="s">
        <v>82</v>
      </c>
      <c r="L10" s="9" t="s">
        <v>83</v>
      </c>
      <c r="M10" s="9" t="s">
        <v>52</v>
      </c>
      <c r="N10" s="9" t="s">
        <v>26</v>
      </c>
    </row>
    <row r="11" customFormat="false" ht="23.25" hidden="false" customHeight="true" outlineLevel="0" collapsed="false">
      <c r="A11" s="9" t="n">
        <v>10</v>
      </c>
      <c r="B11" s="9" t="s">
        <v>84</v>
      </c>
      <c r="C11" s="10" t="n">
        <v>46307</v>
      </c>
      <c r="D11" s="9" t="s">
        <v>85</v>
      </c>
      <c r="E11" s="1" t="s">
        <v>86</v>
      </c>
      <c r="F11" s="9" t="s">
        <v>87</v>
      </c>
      <c r="G11" s="9" t="s">
        <v>88</v>
      </c>
      <c r="H11" s="9" t="s">
        <v>89</v>
      </c>
      <c r="I11" s="9" t="s">
        <v>90</v>
      </c>
      <c r="J11" s="9" t="s">
        <v>91</v>
      </c>
      <c r="K11" s="9" t="s">
        <v>92</v>
      </c>
      <c r="L11" s="9" t="s">
        <v>93</v>
      </c>
      <c r="M11" s="9" t="s">
        <v>52</v>
      </c>
      <c r="N11" s="9" t="s">
        <v>94</v>
      </c>
    </row>
    <row r="12" customFormat="false" ht="23.25" hidden="false" customHeight="true" outlineLevel="0" collapsed="false">
      <c r="A12" s="9" t="n">
        <v>11</v>
      </c>
      <c r="B12" s="9" t="s">
        <v>95</v>
      </c>
      <c r="C12" s="10" t="n">
        <v>46308</v>
      </c>
      <c r="D12" s="9" t="s">
        <v>75</v>
      </c>
      <c r="E12" s="1" t="s">
        <v>96</v>
      </c>
      <c r="F12" s="9" t="s">
        <v>97</v>
      </c>
      <c r="G12" s="9" t="s">
        <v>98</v>
      </c>
      <c r="H12" s="9" t="s">
        <v>99</v>
      </c>
      <c r="I12" s="9" t="s">
        <v>100</v>
      </c>
      <c r="J12" s="9" t="s">
        <v>91</v>
      </c>
      <c r="K12" s="9" t="s">
        <v>101</v>
      </c>
      <c r="L12" s="9" t="s">
        <v>102</v>
      </c>
      <c r="M12" s="9" t="s">
        <v>52</v>
      </c>
      <c r="N12" s="9" t="s">
        <v>94</v>
      </c>
    </row>
    <row r="13" customFormat="false" ht="135.75" hidden="false" customHeight="true" outlineLevel="0" collapsed="false">
      <c r="A13" s="6" t="n">
        <v>12</v>
      </c>
      <c r="B13" s="6" t="s">
        <v>32</v>
      </c>
      <c r="C13" s="7" t="n">
        <v>46309</v>
      </c>
      <c r="D13" s="6" t="s">
        <v>103</v>
      </c>
      <c r="E13" s="6" t="s">
        <v>104</v>
      </c>
      <c r="F13" s="6" t="s">
        <v>105</v>
      </c>
      <c r="G13" s="6" t="s">
        <v>106</v>
      </c>
      <c r="H13" s="6" t="s">
        <v>107</v>
      </c>
      <c r="I13" s="6" t="s">
        <v>108</v>
      </c>
      <c r="J13" s="6" t="s">
        <v>109</v>
      </c>
      <c r="K13" s="8" t="s">
        <v>110</v>
      </c>
      <c r="L13" s="6" t="s">
        <v>111</v>
      </c>
      <c r="M13" s="6" t="s">
        <v>52</v>
      </c>
      <c r="N13" s="6" t="s">
        <v>94</v>
      </c>
    </row>
    <row r="14" customFormat="false" ht="124.5" hidden="false" customHeight="true" outlineLevel="0" collapsed="false">
      <c r="A14" s="6" t="n">
        <v>13</v>
      </c>
      <c r="B14" s="6" t="s">
        <v>43</v>
      </c>
      <c r="C14" s="7" t="n">
        <v>46310</v>
      </c>
      <c r="D14" s="6" t="s">
        <v>112</v>
      </c>
      <c r="E14" s="6" t="s">
        <v>113</v>
      </c>
      <c r="F14" s="6" t="s">
        <v>114</v>
      </c>
      <c r="G14" s="6" t="s">
        <v>115</v>
      </c>
      <c r="H14" s="6" t="s">
        <v>116</v>
      </c>
      <c r="I14" s="6" t="s">
        <v>117</v>
      </c>
      <c r="J14" s="6" t="s">
        <v>109</v>
      </c>
      <c r="K14" s="8" t="s">
        <v>118</v>
      </c>
      <c r="L14" s="6" t="s">
        <v>119</v>
      </c>
      <c r="M14" s="6" t="s">
        <v>120</v>
      </c>
      <c r="N14" s="6" t="s">
        <v>94</v>
      </c>
    </row>
    <row r="15" customFormat="false" ht="90.75" hidden="false" customHeight="true" outlineLevel="0" collapsed="false">
      <c r="A15" s="11" t="n">
        <v>14</v>
      </c>
      <c r="B15" s="11" t="s">
        <v>62</v>
      </c>
      <c r="C15" s="12" t="n">
        <v>46311</v>
      </c>
      <c r="D15" s="11" t="s">
        <v>112</v>
      </c>
      <c r="E15" s="11" t="s">
        <v>121</v>
      </c>
      <c r="F15" s="11" t="s">
        <v>122</v>
      </c>
      <c r="G15" s="11" t="s">
        <v>123</v>
      </c>
      <c r="H15" s="11" t="s">
        <v>124</v>
      </c>
      <c r="I15" s="11" t="s">
        <v>125</v>
      </c>
      <c r="J15" s="11" t="s">
        <v>109</v>
      </c>
      <c r="K15" s="13" t="s">
        <v>126</v>
      </c>
      <c r="L15" s="11" t="s">
        <v>127</v>
      </c>
      <c r="M15" s="11" t="s">
        <v>120</v>
      </c>
      <c r="N15" s="11" t="s">
        <v>94</v>
      </c>
    </row>
    <row r="16" customFormat="false" ht="102" hidden="false" customHeight="true" outlineLevel="0" collapsed="false">
      <c r="A16" s="11" t="n">
        <v>15</v>
      </c>
      <c r="B16" s="11" t="s">
        <v>65</v>
      </c>
      <c r="C16" s="12" t="n">
        <v>46312</v>
      </c>
      <c r="D16" s="11" t="s">
        <v>128</v>
      </c>
      <c r="E16" s="11" t="s">
        <v>129</v>
      </c>
      <c r="F16" s="11" t="s">
        <v>130</v>
      </c>
      <c r="G16" s="11" t="s">
        <v>131</v>
      </c>
      <c r="H16" s="11" t="s">
        <v>132</v>
      </c>
      <c r="I16" s="11" t="s">
        <v>133</v>
      </c>
      <c r="J16" s="11" t="s">
        <v>134</v>
      </c>
      <c r="K16" s="13" t="s">
        <v>135</v>
      </c>
      <c r="L16" s="11" t="s">
        <v>136</v>
      </c>
      <c r="M16" s="11" t="s">
        <v>52</v>
      </c>
      <c r="N16" s="11" t="s">
        <v>94</v>
      </c>
    </row>
    <row r="17" customFormat="false" ht="79.5" hidden="false" customHeight="true" outlineLevel="0" collapsed="false">
      <c r="A17" s="11" t="n">
        <v>16</v>
      </c>
      <c r="B17" s="11" t="s">
        <v>74</v>
      </c>
      <c r="C17" s="12" t="n">
        <v>46313</v>
      </c>
      <c r="D17" s="11" t="s">
        <v>137</v>
      </c>
      <c r="E17" s="11" t="s">
        <v>138</v>
      </c>
      <c r="F17" s="11" t="s">
        <v>139</v>
      </c>
      <c r="G17" s="11" t="s">
        <v>140</v>
      </c>
      <c r="H17" s="11" t="s">
        <v>141</v>
      </c>
      <c r="I17" s="11" t="s">
        <v>142</v>
      </c>
      <c r="J17" s="11" t="s">
        <v>143</v>
      </c>
      <c r="K17" s="13" t="s">
        <v>144</v>
      </c>
      <c r="L17" s="11" t="s">
        <v>145</v>
      </c>
      <c r="M17" s="11" t="s">
        <v>52</v>
      </c>
      <c r="N17" s="11" t="s">
        <v>146</v>
      </c>
    </row>
    <row r="18" customFormat="false" ht="68.25" hidden="false" customHeight="true" outlineLevel="0" collapsed="false">
      <c r="A18" s="11" t="n">
        <v>17</v>
      </c>
      <c r="B18" s="11" t="s">
        <v>84</v>
      </c>
      <c r="C18" s="12" t="n">
        <v>46314</v>
      </c>
      <c r="D18" s="11" t="s">
        <v>137</v>
      </c>
      <c r="E18" s="11" t="s">
        <v>147</v>
      </c>
      <c r="F18" s="11" t="s">
        <v>148</v>
      </c>
      <c r="G18" s="11" t="s">
        <v>149</v>
      </c>
      <c r="H18" s="11" t="s">
        <v>150</v>
      </c>
      <c r="I18" s="11" t="s">
        <v>151</v>
      </c>
      <c r="J18" s="11" t="s">
        <v>152</v>
      </c>
      <c r="K18" s="13" t="s">
        <v>153</v>
      </c>
      <c r="L18" s="11" t="s">
        <v>154</v>
      </c>
      <c r="M18" s="11" t="s">
        <v>120</v>
      </c>
      <c r="N18" s="11" t="s">
        <v>94</v>
      </c>
    </row>
    <row r="19" customFormat="false" ht="57" hidden="false" customHeight="true" outlineLevel="0" collapsed="false">
      <c r="A19" s="11" t="n">
        <v>18</v>
      </c>
      <c r="B19" s="11" t="s">
        <v>95</v>
      </c>
      <c r="C19" s="12" t="n">
        <v>46315</v>
      </c>
      <c r="D19" s="11" t="s">
        <v>155</v>
      </c>
      <c r="E19" s="11" t="s">
        <v>156</v>
      </c>
      <c r="F19" s="11" t="s">
        <v>157</v>
      </c>
      <c r="G19" s="11" t="s">
        <v>158</v>
      </c>
      <c r="H19" s="11" t="s">
        <v>159</v>
      </c>
      <c r="I19" s="11" t="s">
        <v>160</v>
      </c>
      <c r="J19" s="11" t="s">
        <v>161</v>
      </c>
      <c r="K19" s="13" t="s">
        <v>162</v>
      </c>
      <c r="L19" s="11"/>
      <c r="M19" s="11"/>
      <c r="N19" s="11" t="s">
        <v>94</v>
      </c>
    </row>
    <row r="20" customFormat="false" ht="23.25" hidden="false" customHeight="true" outlineLevel="0" collapsed="false">
      <c r="A20" s="9" t="n">
        <v>19</v>
      </c>
      <c r="B20" s="9" t="s">
        <v>32</v>
      </c>
      <c r="C20" s="10" t="n">
        <v>46316</v>
      </c>
      <c r="D20" s="9" t="s">
        <v>163</v>
      </c>
      <c r="E20" s="9" t="s">
        <v>164</v>
      </c>
      <c r="F20" s="9" t="s">
        <v>165</v>
      </c>
      <c r="G20" s="9" t="s">
        <v>166</v>
      </c>
      <c r="H20" s="9" t="s">
        <v>167</v>
      </c>
      <c r="I20" s="9" t="s">
        <v>168</v>
      </c>
      <c r="J20" s="9" t="s">
        <v>169</v>
      </c>
      <c r="K20" s="9" t="s">
        <v>170</v>
      </c>
      <c r="L20" s="9"/>
      <c r="M20" s="9"/>
      <c r="N20" s="9" t="s">
        <v>94</v>
      </c>
    </row>
    <row r="21" customFormat="false" ht="23.25" hidden="false" customHeight="true" outlineLevel="0" collapsed="false">
      <c r="A21" s="9" t="n">
        <v>20</v>
      </c>
      <c r="B21" s="9" t="s">
        <v>43</v>
      </c>
      <c r="C21" s="10" t="n">
        <v>46317</v>
      </c>
      <c r="D21" s="6" t="s">
        <v>103</v>
      </c>
      <c r="E21" s="6" t="s">
        <v>171</v>
      </c>
      <c r="F21" s="6" t="s">
        <v>172</v>
      </c>
      <c r="G21" s="6" t="s">
        <v>173</v>
      </c>
      <c r="H21" s="6" t="s">
        <v>174</v>
      </c>
      <c r="I21" s="6" t="s">
        <v>175</v>
      </c>
      <c r="J21" s="6" t="s">
        <v>176</v>
      </c>
      <c r="K21" s="8" t="s">
        <v>177</v>
      </c>
      <c r="L21" s="6" t="s">
        <v>178</v>
      </c>
      <c r="M21" s="6" t="s">
        <v>52</v>
      </c>
      <c r="N21" s="6" t="s">
        <v>94</v>
      </c>
    </row>
    <row r="22" customFormat="false" ht="23.25" hidden="false" customHeight="true" outlineLevel="0" collapsed="false">
      <c r="A22" s="9" t="n">
        <v>21</v>
      </c>
      <c r="B22" s="9" t="s">
        <v>62</v>
      </c>
      <c r="C22" s="10" t="n">
        <v>46318</v>
      </c>
      <c r="D22" s="9"/>
      <c r="E22" s="9" t="s">
        <v>179</v>
      </c>
      <c r="F22" s="9"/>
      <c r="G22" s="9"/>
      <c r="H22" s="9"/>
      <c r="I22" s="9"/>
      <c r="J22" s="9"/>
      <c r="K22" s="9"/>
      <c r="L22" s="9"/>
      <c r="M22" s="9"/>
      <c r="N22" s="9" t="s">
        <v>180</v>
      </c>
    </row>
    <row r="23" customFormat="false" ht="23.25" hidden="false" customHeight="true" outlineLevel="0" collapsed="false">
      <c r="A23" s="9" t="n">
        <v>22</v>
      </c>
      <c r="B23" s="9" t="s">
        <v>65</v>
      </c>
      <c r="C23" s="10" t="n">
        <v>46319</v>
      </c>
      <c r="D23" s="9"/>
      <c r="E23" s="9" t="s">
        <v>179</v>
      </c>
      <c r="F23" s="9"/>
      <c r="G23" s="9"/>
      <c r="H23" s="9"/>
      <c r="I23" s="9"/>
      <c r="J23" s="9"/>
      <c r="K23" s="9"/>
      <c r="L23" s="9"/>
      <c r="M23" s="9"/>
      <c r="N23" s="9" t="s">
        <v>180</v>
      </c>
    </row>
    <row r="24" customFormat="false" ht="23.25" hidden="false" customHeight="true" outlineLevel="0" collapsed="false">
      <c r="A24" s="9" t="n">
        <v>23</v>
      </c>
      <c r="B24" s="9" t="s">
        <v>74</v>
      </c>
      <c r="C24" s="10" t="n">
        <v>46320</v>
      </c>
      <c r="D24" s="9"/>
      <c r="E24" s="9" t="s">
        <v>179</v>
      </c>
      <c r="F24" s="9"/>
      <c r="G24" s="9"/>
      <c r="H24" s="9"/>
      <c r="I24" s="9"/>
      <c r="J24" s="9"/>
      <c r="K24" s="9"/>
      <c r="L24" s="9"/>
      <c r="M24" s="9"/>
      <c r="N24" s="9" t="s">
        <v>180</v>
      </c>
    </row>
    <row r="25" customFormat="false" ht="23.25" hidden="false" customHeight="true" outlineLevel="0" collapsed="false">
      <c r="A25" s="9" t="n">
        <v>24</v>
      </c>
      <c r="B25" s="9" t="s">
        <v>84</v>
      </c>
      <c r="C25" s="10" t="n">
        <v>46321</v>
      </c>
      <c r="D25" s="9"/>
      <c r="E25" s="9" t="s">
        <v>179</v>
      </c>
      <c r="F25" s="9"/>
      <c r="G25" s="9"/>
      <c r="H25" s="9"/>
      <c r="I25" s="9"/>
      <c r="J25" s="9"/>
      <c r="K25" s="9"/>
      <c r="L25" s="9"/>
      <c r="M25" s="9"/>
      <c r="N25" s="9" t="s">
        <v>180</v>
      </c>
    </row>
    <row r="26" customFormat="false" ht="23.25" hidden="false" customHeight="true" outlineLevel="0" collapsed="false">
      <c r="A26" s="9" t="n">
        <v>25</v>
      </c>
      <c r="B26" s="9" t="s">
        <v>95</v>
      </c>
      <c r="C26" s="10" t="n">
        <v>46322</v>
      </c>
      <c r="D26" s="9" t="s">
        <v>103</v>
      </c>
      <c r="E26" s="9" t="s">
        <v>181</v>
      </c>
      <c r="F26" s="9" t="s">
        <v>182</v>
      </c>
      <c r="G26" s="9" t="s">
        <v>183</v>
      </c>
      <c r="H26" s="9" t="s">
        <v>184</v>
      </c>
      <c r="I26" s="9" t="s">
        <v>185</v>
      </c>
      <c r="J26" s="9" t="s">
        <v>186</v>
      </c>
      <c r="K26" s="9" t="s">
        <v>187</v>
      </c>
      <c r="L26" s="9"/>
      <c r="M26" s="9"/>
      <c r="N26" s="9" t="s">
        <v>94</v>
      </c>
    </row>
    <row r="27" customFormat="false" ht="23.25" hidden="false" customHeight="true" outlineLevel="0" collapsed="false">
      <c r="A27" s="9" t="n">
        <v>26</v>
      </c>
      <c r="B27" s="9" t="s">
        <v>32</v>
      </c>
      <c r="C27" s="10" t="n">
        <v>46323</v>
      </c>
      <c r="D27" s="9"/>
      <c r="E27" s="9" t="s">
        <v>179</v>
      </c>
      <c r="F27" s="9"/>
      <c r="G27" s="9"/>
      <c r="H27" s="9"/>
      <c r="I27" s="9"/>
      <c r="J27" s="9"/>
      <c r="K27" s="9"/>
      <c r="L27" s="9"/>
      <c r="M27" s="9"/>
      <c r="N27" s="9" t="s">
        <v>180</v>
      </c>
    </row>
    <row r="28" customFormat="false" ht="23.25" hidden="false" customHeight="true" outlineLevel="0" collapsed="false">
      <c r="A28" s="9" t="n">
        <v>27</v>
      </c>
      <c r="B28" s="9" t="s">
        <v>43</v>
      </c>
      <c r="C28" s="10" t="n">
        <v>46324</v>
      </c>
      <c r="D28" s="9"/>
      <c r="E28" s="9" t="s">
        <v>179</v>
      </c>
      <c r="F28" s="9"/>
      <c r="G28" s="9"/>
      <c r="H28" s="9"/>
      <c r="I28" s="9"/>
      <c r="J28" s="9"/>
      <c r="K28" s="9"/>
      <c r="L28" s="9"/>
      <c r="M28" s="9"/>
      <c r="N28" s="9" t="s">
        <v>180</v>
      </c>
    </row>
    <row r="29" customFormat="false" ht="23.25" hidden="false" customHeight="true" outlineLevel="0" collapsed="false">
      <c r="A29" s="9" t="n">
        <v>28</v>
      </c>
      <c r="B29" s="9" t="s">
        <v>62</v>
      </c>
      <c r="C29" s="10" t="n">
        <v>46325</v>
      </c>
      <c r="D29" s="9"/>
      <c r="E29" s="9" t="s">
        <v>179</v>
      </c>
      <c r="F29" s="9"/>
      <c r="G29" s="9"/>
      <c r="H29" s="9"/>
      <c r="I29" s="9"/>
      <c r="J29" s="9"/>
      <c r="K29" s="9"/>
      <c r="L29" s="9"/>
      <c r="M29" s="9"/>
      <c r="N29" s="9" t="s">
        <v>180</v>
      </c>
    </row>
    <row r="30" customFormat="false" ht="23.25" hidden="false" customHeight="true" outlineLevel="0" collapsed="false">
      <c r="A30" s="9" t="n">
        <v>29</v>
      </c>
      <c r="B30" s="9" t="s">
        <v>65</v>
      </c>
      <c r="C30" s="10" t="n">
        <v>46326</v>
      </c>
      <c r="D30" s="9"/>
      <c r="E30" s="9" t="s">
        <v>179</v>
      </c>
      <c r="F30" s="9"/>
      <c r="G30" s="9"/>
      <c r="H30" s="9"/>
      <c r="I30" s="9"/>
      <c r="J30" s="9"/>
      <c r="K30" s="9"/>
      <c r="L30" s="9"/>
      <c r="M30" s="9"/>
      <c r="N30" s="9" t="s">
        <v>180</v>
      </c>
    </row>
    <row r="31" customFormat="false" ht="23.25" hidden="false" customHeight="true" outlineLevel="0" collapsed="false">
      <c r="A31" s="9" t="n">
        <v>30</v>
      </c>
      <c r="B31" s="9" t="s">
        <v>74</v>
      </c>
      <c r="C31" s="10" t="n">
        <v>46327</v>
      </c>
      <c r="D31" s="9"/>
      <c r="E31" s="9" t="s">
        <v>179</v>
      </c>
      <c r="F31" s="9"/>
      <c r="G31" s="9"/>
      <c r="H31" s="9"/>
      <c r="I31" s="9"/>
      <c r="J31" s="9"/>
      <c r="K31" s="9"/>
      <c r="L31" s="9"/>
      <c r="M31" s="9"/>
      <c r="N31" s="9" t="s">
        <v>180</v>
      </c>
    </row>
    <row r="32" customFormat="false" ht="23.25" hidden="false" customHeight="true" outlineLevel="0" collapsed="false">
      <c r="A32" s="9" t="n">
        <v>31</v>
      </c>
      <c r="B32" s="9" t="s">
        <v>84</v>
      </c>
      <c r="C32" s="10" t="n">
        <v>46328</v>
      </c>
      <c r="D32" s="9"/>
      <c r="E32" s="9" t="s">
        <v>179</v>
      </c>
      <c r="F32" s="9"/>
      <c r="G32" s="9"/>
      <c r="H32" s="9"/>
      <c r="I32" s="9"/>
      <c r="J32" s="9"/>
      <c r="K32" s="9"/>
      <c r="L32" s="9"/>
      <c r="M32" s="9"/>
      <c r="N32" s="9" t="s">
        <v>180</v>
      </c>
    </row>
    <row r="33" customFormat="false" ht="23.25" hidden="false" customHeight="true" outlineLevel="0" collapsed="false">
      <c r="A33" s="9" t="n">
        <v>32</v>
      </c>
      <c r="B33" s="9" t="s">
        <v>95</v>
      </c>
      <c r="C33" s="10" t="n">
        <v>46329</v>
      </c>
      <c r="D33" s="9"/>
      <c r="E33" s="9" t="s">
        <v>179</v>
      </c>
      <c r="F33" s="9"/>
      <c r="G33" s="9"/>
      <c r="H33" s="9"/>
      <c r="I33" s="9"/>
      <c r="J33" s="9"/>
      <c r="K33" s="9"/>
      <c r="L33" s="9"/>
      <c r="M33" s="9"/>
      <c r="N33" s="9" t="s">
        <v>180</v>
      </c>
    </row>
    <row r="34" customFormat="false" ht="23.25" hidden="false" customHeight="true" outlineLevel="0" collapsed="false">
      <c r="A34" s="9" t="n">
        <v>33</v>
      </c>
      <c r="B34" s="9" t="s">
        <v>32</v>
      </c>
      <c r="C34" s="10" t="n">
        <v>46330</v>
      </c>
      <c r="D34" s="9"/>
      <c r="E34" s="9" t="s">
        <v>179</v>
      </c>
      <c r="F34" s="9"/>
      <c r="G34" s="9"/>
      <c r="H34" s="9"/>
      <c r="I34" s="9"/>
      <c r="J34" s="9"/>
      <c r="K34" s="9"/>
      <c r="L34" s="9"/>
      <c r="M34" s="9"/>
      <c r="N34" s="9" t="s">
        <v>180</v>
      </c>
    </row>
    <row r="35" customFormat="false" ht="23.25" hidden="false" customHeight="true" outlineLevel="0" collapsed="false">
      <c r="A35" s="9" t="n">
        <v>34</v>
      </c>
      <c r="B35" s="9" t="s">
        <v>43</v>
      </c>
      <c r="C35" s="10" t="n">
        <v>46331</v>
      </c>
      <c r="D35" s="9"/>
      <c r="E35" s="9" t="s">
        <v>179</v>
      </c>
      <c r="F35" s="9"/>
      <c r="G35" s="9"/>
      <c r="H35" s="9"/>
      <c r="I35" s="9"/>
      <c r="J35" s="9"/>
      <c r="K35" s="9"/>
      <c r="L35" s="9"/>
      <c r="M35" s="9"/>
      <c r="N35" s="9" t="s">
        <v>180</v>
      </c>
    </row>
    <row r="36" customFormat="false" ht="23.25" hidden="false" customHeight="true" outlineLevel="0" collapsed="false">
      <c r="A36" s="9" t="n">
        <v>35</v>
      </c>
      <c r="B36" s="9" t="s">
        <v>62</v>
      </c>
      <c r="C36" s="10" t="n">
        <v>46332</v>
      </c>
      <c r="D36" s="9"/>
      <c r="E36" s="9" t="s">
        <v>179</v>
      </c>
      <c r="F36" s="9"/>
      <c r="G36" s="9"/>
      <c r="H36" s="9"/>
      <c r="I36" s="9"/>
      <c r="J36" s="9"/>
      <c r="K36" s="9"/>
      <c r="L36" s="9"/>
      <c r="M36" s="9"/>
      <c r="N36" s="9" t="s">
        <v>180</v>
      </c>
    </row>
    <row r="37" customFormat="false" ht="23.25" hidden="false" customHeight="true" outlineLevel="0" collapsed="false">
      <c r="A37" s="9" t="n">
        <v>36</v>
      </c>
      <c r="B37" s="9" t="s">
        <v>65</v>
      </c>
      <c r="C37" s="10" t="n">
        <v>46333</v>
      </c>
      <c r="D37" s="9"/>
      <c r="E37" s="9" t="s">
        <v>179</v>
      </c>
      <c r="F37" s="9"/>
      <c r="G37" s="9"/>
      <c r="H37" s="9"/>
      <c r="I37" s="9"/>
      <c r="J37" s="9"/>
      <c r="K37" s="9"/>
      <c r="L37" s="9"/>
      <c r="M37" s="9"/>
      <c r="N37" s="9" t="s">
        <v>180</v>
      </c>
    </row>
    <row r="38" customFormat="false" ht="23.25" hidden="false" customHeight="true" outlineLevel="0" collapsed="false">
      <c r="A38" s="9" t="n">
        <v>37</v>
      </c>
      <c r="B38" s="9" t="s">
        <v>74</v>
      </c>
      <c r="C38" s="10" t="n">
        <v>46334</v>
      </c>
      <c r="D38" s="9"/>
      <c r="E38" s="9" t="s">
        <v>179</v>
      </c>
      <c r="F38" s="9"/>
      <c r="G38" s="9"/>
      <c r="H38" s="9"/>
      <c r="I38" s="9"/>
      <c r="J38" s="9"/>
      <c r="K38" s="9"/>
      <c r="L38" s="9"/>
      <c r="M38" s="9"/>
      <c r="N38" s="9" t="s">
        <v>180</v>
      </c>
    </row>
    <row r="39" customFormat="false" ht="23.25" hidden="false" customHeight="true" outlineLevel="0" collapsed="false">
      <c r="A39" s="9" t="n">
        <v>38</v>
      </c>
      <c r="B39" s="9" t="s">
        <v>84</v>
      </c>
      <c r="C39" s="10" t="n">
        <v>46335</v>
      </c>
      <c r="D39" s="9"/>
      <c r="E39" s="9" t="s">
        <v>179</v>
      </c>
      <c r="F39" s="9"/>
      <c r="G39" s="9"/>
      <c r="H39" s="9"/>
      <c r="I39" s="9"/>
      <c r="J39" s="9"/>
      <c r="K39" s="9"/>
      <c r="L39" s="9"/>
      <c r="M39" s="9"/>
      <c r="N39" s="9" t="s">
        <v>180</v>
      </c>
    </row>
    <row r="40" customFormat="false" ht="23.25" hidden="false" customHeight="true" outlineLevel="0" collapsed="false">
      <c r="A40" s="9" t="n">
        <v>39</v>
      </c>
      <c r="B40" s="9" t="s">
        <v>95</v>
      </c>
      <c r="C40" s="10" t="n">
        <v>46336</v>
      </c>
      <c r="D40" s="9" t="s">
        <v>155</v>
      </c>
      <c r="E40" s="9" t="s">
        <v>188</v>
      </c>
      <c r="F40" s="9" t="s">
        <v>189</v>
      </c>
      <c r="G40" s="9" t="s">
        <v>190</v>
      </c>
      <c r="H40" s="9" t="s">
        <v>191</v>
      </c>
      <c r="I40" s="9" t="s">
        <v>192</v>
      </c>
      <c r="J40" s="9" t="s">
        <v>193</v>
      </c>
      <c r="K40" s="9" t="s">
        <v>194</v>
      </c>
      <c r="L40" s="9" t="s">
        <v>195</v>
      </c>
      <c r="M40" s="9" t="s">
        <v>52</v>
      </c>
      <c r="N40" s="9" t="s">
        <v>146</v>
      </c>
    </row>
    <row r="41" customFormat="false" ht="102" hidden="false" customHeight="true" outlineLevel="0" collapsed="false">
      <c r="A41" s="6" t="n">
        <v>40</v>
      </c>
      <c r="B41" s="6" t="s">
        <v>32</v>
      </c>
      <c r="C41" s="7" t="n">
        <v>46337</v>
      </c>
      <c r="D41" s="6"/>
      <c r="E41" s="6" t="s">
        <v>179</v>
      </c>
      <c r="F41" s="6"/>
      <c r="G41" s="6"/>
      <c r="H41" s="6"/>
      <c r="I41" s="6"/>
      <c r="J41" s="6"/>
      <c r="K41" s="8"/>
      <c r="L41" s="6"/>
      <c r="M41" s="6"/>
      <c r="N41" s="6" t="s">
        <v>180</v>
      </c>
    </row>
    <row r="42" customFormat="false" ht="23.25" hidden="false" customHeight="true" outlineLevel="0" collapsed="false">
      <c r="A42" s="9" t="n">
        <v>41</v>
      </c>
      <c r="B42" s="9" t="s">
        <v>43</v>
      </c>
      <c r="C42" s="10" t="n">
        <v>46338</v>
      </c>
      <c r="D42" s="9"/>
      <c r="E42" s="9" t="s">
        <v>179</v>
      </c>
      <c r="F42" s="9"/>
      <c r="G42" s="9"/>
      <c r="H42" s="9"/>
      <c r="I42" s="9"/>
      <c r="J42" s="9"/>
      <c r="K42" s="9"/>
      <c r="L42" s="9"/>
      <c r="M42" s="9"/>
      <c r="N42" s="9" t="s">
        <v>180</v>
      </c>
    </row>
    <row r="43" customFormat="false" ht="23.25" hidden="false" customHeight="true" outlineLevel="0" collapsed="false">
      <c r="A43" s="9" t="n">
        <v>42</v>
      </c>
      <c r="B43" s="9" t="s">
        <v>62</v>
      </c>
      <c r="C43" s="10" t="n">
        <v>46339</v>
      </c>
      <c r="D43" s="9"/>
      <c r="E43" s="9" t="s">
        <v>179</v>
      </c>
      <c r="F43" s="9"/>
      <c r="G43" s="9"/>
      <c r="H43" s="9"/>
      <c r="I43" s="9"/>
      <c r="J43" s="9"/>
      <c r="K43" s="9"/>
      <c r="L43" s="9"/>
      <c r="M43" s="9"/>
      <c r="N43" s="9" t="s">
        <v>180</v>
      </c>
    </row>
    <row r="44" customFormat="false" ht="23.25" hidden="false" customHeight="true" outlineLevel="0" collapsed="false">
      <c r="A44" s="9" t="n">
        <v>43</v>
      </c>
      <c r="B44" s="9" t="s">
        <v>65</v>
      </c>
      <c r="C44" s="10" t="n">
        <v>46340</v>
      </c>
      <c r="D44" s="9"/>
      <c r="E44" s="9" t="s">
        <v>179</v>
      </c>
      <c r="F44" s="9"/>
      <c r="G44" s="9"/>
      <c r="H44" s="9"/>
      <c r="I44" s="9"/>
      <c r="J44" s="9"/>
      <c r="K44" s="9"/>
      <c r="L44" s="9"/>
      <c r="M44" s="9"/>
      <c r="N44" s="9" t="s">
        <v>180</v>
      </c>
    </row>
    <row r="45" customFormat="false" ht="23.25" hidden="false" customHeight="true" outlineLevel="0" collapsed="false">
      <c r="A45" s="9" t="n">
        <v>44</v>
      </c>
      <c r="B45" s="9" t="s">
        <v>74</v>
      </c>
      <c r="C45" s="10" t="n">
        <v>46341</v>
      </c>
      <c r="D45" s="9"/>
      <c r="E45" s="9" t="s">
        <v>179</v>
      </c>
      <c r="F45" s="9"/>
      <c r="G45" s="9"/>
      <c r="H45" s="9"/>
      <c r="I45" s="9"/>
      <c r="J45" s="9"/>
      <c r="K45" s="9"/>
      <c r="L45" s="9"/>
      <c r="M45" s="9"/>
      <c r="N45" s="9" t="s">
        <v>180</v>
      </c>
    </row>
    <row r="46" customFormat="false" ht="23.25" hidden="false" customHeight="true" outlineLevel="0" collapsed="false">
      <c r="A46" s="9" t="n">
        <v>45</v>
      </c>
      <c r="B46" s="9" t="s">
        <v>84</v>
      </c>
      <c r="C46" s="10" t="n">
        <v>46342</v>
      </c>
      <c r="D46" s="9"/>
      <c r="E46" s="9" t="s">
        <v>179</v>
      </c>
      <c r="F46" s="9"/>
      <c r="G46" s="9"/>
      <c r="H46" s="9"/>
      <c r="I46" s="9"/>
      <c r="J46" s="9"/>
      <c r="K46" s="9"/>
      <c r="L46" s="9"/>
      <c r="M46" s="9"/>
      <c r="N46" s="9" t="s">
        <v>180</v>
      </c>
    </row>
    <row r="47" customFormat="false" ht="23.25" hidden="false" customHeight="true" outlineLevel="0" collapsed="false">
      <c r="A47" s="9" t="n">
        <v>46</v>
      </c>
      <c r="B47" s="9" t="s">
        <v>95</v>
      </c>
      <c r="C47" s="10" t="n">
        <v>46343</v>
      </c>
      <c r="D47" s="9"/>
      <c r="E47" s="9" t="s">
        <v>179</v>
      </c>
      <c r="F47" s="9"/>
      <c r="G47" s="9"/>
      <c r="H47" s="9"/>
      <c r="I47" s="9"/>
      <c r="J47" s="9"/>
      <c r="K47" s="9"/>
      <c r="L47" s="9"/>
      <c r="M47" s="9"/>
      <c r="N47" s="9" t="s">
        <v>180</v>
      </c>
    </row>
    <row r="48" customFormat="false" ht="23.25" hidden="false" customHeight="true" outlineLevel="0" collapsed="false">
      <c r="A48" s="9" t="n">
        <v>47</v>
      </c>
      <c r="B48" s="9" t="s">
        <v>32</v>
      </c>
      <c r="C48" s="10" t="n">
        <v>46344</v>
      </c>
      <c r="D48" s="9"/>
      <c r="E48" s="9" t="s">
        <v>179</v>
      </c>
      <c r="F48" s="9"/>
      <c r="G48" s="9"/>
      <c r="H48" s="9"/>
      <c r="I48" s="9"/>
      <c r="J48" s="9"/>
      <c r="K48" s="9"/>
      <c r="L48" s="9"/>
      <c r="M48" s="9"/>
      <c r="N48" s="9" t="s">
        <v>180</v>
      </c>
    </row>
    <row r="49" customFormat="false" ht="23.25" hidden="false" customHeight="true" outlineLevel="0" collapsed="false">
      <c r="A49" s="9" t="n">
        <v>48</v>
      </c>
      <c r="B49" s="9" t="s">
        <v>43</v>
      </c>
      <c r="C49" s="10" t="n">
        <v>46345</v>
      </c>
      <c r="D49" s="9"/>
      <c r="E49" s="9" t="s">
        <v>179</v>
      </c>
      <c r="F49" s="9"/>
      <c r="G49" s="9"/>
      <c r="H49" s="9"/>
      <c r="I49" s="9"/>
      <c r="J49" s="9"/>
      <c r="K49" s="9"/>
      <c r="L49" s="9"/>
      <c r="M49" s="9"/>
      <c r="N49" s="9" t="s">
        <v>180</v>
      </c>
    </row>
    <row r="50" customFormat="false" ht="23.25" hidden="false" customHeight="true" outlineLevel="0" collapsed="false">
      <c r="A50" s="9" t="n">
        <v>49</v>
      </c>
      <c r="B50" s="9" t="s">
        <v>62</v>
      </c>
      <c r="C50" s="10" t="n">
        <v>46346</v>
      </c>
      <c r="D50" s="9"/>
      <c r="E50" s="9" t="s">
        <v>179</v>
      </c>
      <c r="F50" s="9"/>
      <c r="G50" s="9"/>
      <c r="H50" s="9"/>
      <c r="I50" s="9"/>
      <c r="J50" s="9"/>
      <c r="K50" s="9"/>
      <c r="L50" s="9"/>
      <c r="M50" s="9"/>
      <c r="N50" s="9" t="s">
        <v>180</v>
      </c>
    </row>
    <row r="51" customFormat="false" ht="23.25" hidden="false" customHeight="true" outlineLevel="0" collapsed="false">
      <c r="A51" s="9" t="n">
        <v>50</v>
      </c>
      <c r="B51" s="9" t="s">
        <v>65</v>
      </c>
      <c r="C51" s="10" t="n">
        <v>46347</v>
      </c>
      <c r="D51" s="9" t="s">
        <v>196</v>
      </c>
      <c r="E51" s="9" t="s">
        <v>197</v>
      </c>
      <c r="F51" s="9" t="s">
        <v>198</v>
      </c>
      <c r="G51" s="9" t="s">
        <v>199</v>
      </c>
      <c r="H51" s="9" t="s">
        <v>200</v>
      </c>
      <c r="I51" s="9" t="s">
        <v>201</v>
      </c>
      <c r="J51" s="9" t="s">
        <v>202</v>
      </c>
      <c r="K51" s="9" t="s">
        <v>203</v>
      </c>
      <c r="L51" s="9" t="s">
        <v>204</v>
      </c>
      <c r="M51" s="9" t="s">
        <v>205</v>
      </c>
      <c r="N51" s="9" t="s">
        <v>146</v>
      </c>
    </row>
    <row r="52" customFormat="false" ht="45.75" hidden="false" customHeight="true" outlineLevel="0" collapsed="false">
      <c r="A52" s="6" t="n">
        <v>51</v>
      </c>
      <c r="B52" s="6" t="s">
        <v>74</v>
      </c>
      <c r="C52" s="7" t="n">
        <v>46348</v>
      </c>
      <c r="D52" s="6"/>
      <c r="E52" s="6" t="s">
        <v>179</v>
      </c>
      <c r="F52" s="6"/>
      <c r="G52" s="6"/>
      <c r="H52" s="6"/>
      <c r="I52" s="6"/>
      <c r="J52" s="6"/>
      <c r="K52" s="8"/>
      <c r="L52" s="6"/>
      <c r="M52" s="6"/>
      <c r="N52" s="6" t="s">
        <v>180</v>
      </c>
    </row>
    <row r="53" customFormat="false" ht="23.25" hidden="false" customHeight="true" outlineLevel="0" collapsed="false">
      <c r="A53" s="9" t="n">
        <v>52</v>
      </c>
      <c r="B53" s="9" t="s">
        <v>84</v>
      </c>
      <c r="C53" s="10" t="n">
        <v>46349</v>
      </c>
      <c r="D53" s="9"/>
      <c r="E53" s="9" t="s">
        <v>179</v>
      </c>
      <c r="F53" s="9"/>
      <c r="G53" s="9"/>
      <c r="H53" s="9"/>
      <c r="I53" s="9"/>
      <c r="J53" s="9"/>
      <c r="K53" s="9"/>
      <c r="L53" s="9"/>
      <c r="M53" s="9"/>
      <c r="N53" s="9" t="s">
        <v>180</v>
      </c>
    </row>
    <row r="54" customFormat="false" ht="23.25" hidden="false" customHeight="true" outlineLevel="0" collapsed="false">
      <c r="A54" s="9" t="n">
        <v>53</v>
      </c>
      <c r="B54" s="9" t="s">
        <v>95</v>
      </c>
      <c r="C54" s="10" t="n">
        <v>46350</v>
      </c>
      <c r="D54" s="9"/>
      <c r="E54" s="9" t="s">
        <v>179</v>
      </c>
      <c r="F54" s="9"/>
      <c r="G54" s="9"/>
      <c r="H54" s="9"/>
      <c r="I54" s="9"/>
      <c r="J54" s="9"/>
      <c r="K54" s="9"/>
      <c r="L54" s="9"/>
      <c r="M54" s="9"/>
      <c r="N54" s="9" t="s">
        <v>180</v>
      </c>
    </row>
    <row r="55" customFormat="false" ht="23.25" hidden="false" customHeight="true" outlineLevel="0" collapsed="false">
      <c r="A55" s="9" t="n">
        <v>54</v>
      </c>
      <c r="B55" s="9" t="s">
        <v>32</v>
      </c>
      <c r="C55" s="10" t="n">
        <v>46351</v>
      </c>
      <c r="D55" s="9"/>
      <c r="E55" s="9" t="s">
        <v>179</v>
      </c>
      <c r="F55" s="9"/>
      <c r="G55" s="9"/>
      <c r="H55" s="9"/>
      <c r="I55" s="9"/>
      <c r="J55" s="9"/>
      <c r="K55" s="9"/>
      <c r="L55" s="9"/>
      <c r="M55" s="9"/>
      <c r="N55" s="9" t="s">
        <v>180</v>
      </c>
    </row>
    <row r="56" customFormat="false" ht="23.25" hidden="false" customHeight="true" outlineLevel="0" collapsed="false">
      <c r="A56" s="9" t="n">
        <v>55</v>
      </c>
      <c r="B56" s="9" t="s">
        <v>43</v>
      </c>
      <c r="C56" s="10" t="n">
        <v>46352</v>
      </c>
      <c r="D56" s="9" t="s">
        <v>53</v>
      </c>
      <c r="E56" s="9" t="s">
        <v>206</v>
      </c>
      <c r="F56" s="9" t="s">
        <v>207</v>
      </c>
      <c r="G56" s="9" t="s">
        <v>208</v>
      </c>
      <c r="H56" s="9" t="s">
        <v>209</v>
      </c>
      <c r="I56" s="9" t="s">
        <v>210</v>
      </c>
      <c r="J56" s="9" t="s">
        <v>211</v>
      </c>
      <c r="K56" s="9" t="s">
        <v>212</v>
      </c>
      <c r="L56" s="9" t="s">
        <v>213</v>
      </c>
      <c r="M56" s="9" t="s">
        <v>120</v>
      </c>
      <c r="N56" s="9" t="s">
        <v>146</v>
      </c>
    </row>
    <row r="57" customFormat="false" ht="68.25" hidden="false" customHeight="true" outlineLevel="0" collapsed="false">
      <c r="A57" s="11" t="n">
        <v>56</v>
      </c>
      <c r="B57" s="11" t="s">
        <v>62</v>
      </c>
      <c r="C57" s="12" t="n">
        <v>46353</v>
      </c>
      <c r="D57" s="11"/>
      <c r="E57" s="11" t="s">
        <v>179</v>
      </c>
      <c r="F57" s="11"/>
      <c r="G57" s="11"/>
      <c r="H57" s="11"/>
      <c r="I57" s="11"/>
      <c r="J57" s="11"/>
      <c r="K57" s="13"/>
      <c r="L57" s="11"/>
      <c r="M57" s="11"/>
      <c r="N57" s="11" t="s">
        <v>180</v>
      </c>
    </row>
    <row r="58" customFormat="false" ht="23.25" hidden="false" customHeight="true" outlineLevel="0" collapsed="false">
      <c r="A58" s="9" t="n">
        <v>57</v>
      </c>
      <c r="B58" s="9" t="s">
        <v>65</v>
      </c>
      <c r="C58" s="10" t="n">
        <v>46354</v>
      </c>
      <c r="D58" s="9"/>
      <c r="E58" s="9" t="s">
        <v>179</v>
      </c>
      <c r="F58" s="9"/>
      <c r="G58" s="9"/>
      <c r="H58" s="9"/>
      <c r="I58" s="9"/>
      <c r="J58" s="9"/>
      <c r="K58" s="9"/>
      <c r="L58" s="9"/>
      <c r="M58" s="9"/>
      <c r="N58" s="9" t="s">
        <v>180</v>
      </c>
    </row>
    <row r="59" customFormat="false" ht="23.25" hidden="false" customHeight="true" outlineLevel="0" collapsed="false">
      <c r="A59" s="9" t="n">
        <v>58</v>
      </c>
      <c r="B59" s="9" t="s">
        <v>74</v>
      </c>
      <c r="C59" s="10" t="n">
        <v>46355</v>
      </c>
      <c r="D59" s="9"/>
      <c r="E59" s="9" t="s">
        <v>179</v>
      </c>
      <c r="F59" s="9"/>
      <c r="G59" s="9"/>
      <c r="H59" s="9"/>
      <c r="I59" s="9"/>
      <c r="J59" s="9"/>
      <c r="K59" s="9"/>
      <c r="L59" s="9"/>
      <c r="M59" s="9"/>
      <c r="N59" s="9" t="s">
        <v>180</v>
      </c>
    </row>
    <row r="60" customFormat="false" ht="23.25" hidden="false" customHeight="true" outlineLevel="0" collapsed="false">
      <c r="A60" s="9" t="n">
        <v>59</v>
      </c>
      <c r="B60" s="9" t="s">
        <v>84</v>
      </c>
      <c r="C60" s="10" t="n">
        <v>46356</v>
      </c>
      <c r="D60" s="9"/>
      <c r="E60" s="9" t="s">
        <v>179</v>
      </c>
      <c r="F60" s="9"/>
      <c r="G60" s="9"/>
      <c r="H60" s="9"/>
      <c r="I60" s="9"/>
      <c r="J60" s="9"/>
      <c r="K60" s="9"/>
      <c r="L60" s="9"/>
      <c r="M60" s="9"/>
      <c r="N60" s="9" t="s">
        <v>180</v>
      </c>
    </row>
    <row r="61" customFormat="false" ht="23.25" hidden="false" customHeight="true" outlineLevel="0" collapsed="false">
      <c r="A61" s="9" t="n">
        <v>60</v>
      </c>
      <c r="B61" s="9" t="s">
        <v>95</v>
      </c>
      <c r="C61" s="10" t="n">
        <v>46357</v>
      </c>
      <c r="D61" s="9"/>
      <c r="E61" s="9" t="s">
        <v>179</v>
      </c>
      <c r="F61" s="9"/>
      <c r="G61" s="9"/>
      <c r="H61" s="9"/>
      <c r="I61" s="9"/>
      <c r="J61" s="9"/>
      <c r="K61" s="9"/>
      <c r="L61" s="9"/>
      <c r="M61" s="9"/>
      <c r="N61" s="9" t="s">
        <v>180</v>
      </c>
    </row>
    <row r="62" customFormat="false" ht="23.25" hidden="false" customHeight="true" outlineLevel="0" collapsed="false">
      <c r="A62" s="9" t="n">
        <v>61</v>
      </c>
      <c r="B62" s="9" t="s">
        <v>32</v>
      </c>
      <c r="C62" s="10" t="n">
        <v>46358</v>
      </c>
      <c r="D62" s="9"/>
      <c r="E62" s="9" t="s">
        <v>179</v>
      </c>
      <c r="F62" s="9"/>
      <c r="G62" s="9"/>
      <c r="H62" s="9"/>
      <c r="I62" s="9"/>
      <c r="J62" s="9"/>
      <c r="K62" s="9"/>
      <c r="L62" s="9"/>
      <c r="M62" s="9"/>
      <c r="N62" s="9" t="s">
        <v>180</v>
      </c>
    </row>
    <row r="63" customFormat="false" ht="23.25" hidden="false" customHeight="true" outlineLevel="0" collapsed="false">
      <c r="A63" s="9" t="n">
        <v>62</v>
      </c>
      <c r="B63" s="9" t="s">
        <v>43</v>
      </c>
      <c r="C63" s="10" t="n">
        <v>46359</v>
      </c>
      <c r="D63" s="9"/>
      <c r="E63" s="9" t="s">
        <v>179</v>
      </c>
      <c r="F63" s="9"/>
      <c r="G63" s="9"/>
      <c r="H63" s="9"/>
      <c r="I63" s="9"/>
      <c r="J63" s="9"/>
      <c r="K63" s="9"/>
      <c r="L63" s="9"/>
      <c r="M63" s="9"/>
      <c r="N63" s="9" t="s">
        <v>180</v>
      </c>
    </row>
    <row r="64" customFormat="false" ht="23.25" hidden="false" customHeight="true" outlineLevel="0" collapsed="false">
      <c r="A64" s="9" t="n">
        <v>63</v>
      </c>
      <c r="B64" s="9" t="s">
        <v>62</v>
      </c>
      <c r="C64" s="10" t="n">
        <v>46360</v>
      </c>
      <c r="D64" s="9"/>
      <c r="E64" s="9" t="s">
        <v>179</v>
      </c>
      <c r="F64" s="9"/>
      <c r="G64" s="9"/>
      <c r="H64" s="9"/>
      <c r="I64" s="9"/>
      <c r="J64" s="9"/>
      <c r="K64" s="9"/>
      <c r="L64" s="9"/>
      <c r="M64" s="9"/>
      <c r="N64" s="9" t="s">
        <v>180</v>
      </c>
    </row>
    <row r="65" customFormat="false" ht="23.25" hidden="false" customHeight="true" outlineLevel="0" collapsed="false">
      <c r="A65" s="9" t="n">
        <v>64</v>
      </c>
      <c r="B65" s="9" t="s">
        <v>65</v>
      </c>
      <c r="C65" s="10" t="n">
        <v>46361</v>
      </c>
      <c r="D65" s="9"/>
      <c r="E65" s="9" t="s">
        <v>179</v>
      </c>
      <c r="F65" s="9"/>
      <c r="G65" s="9"/>
      <c r="H65" s="9"/>
      <c r="I65" s="9"/>
      <c r="J65" s="9"/>
      <c r="K65" s="9"/>
      <c r="L65" s="9"/>
      <c r="M65" s="9"/>
      <c r="N65" s="9" t="s">
        <v>180</v>
      </c>
    </row>
    <row r="66" customFormat="false" ht="23.25" hidden="false" customHeight="true" outlineLevel="0" collapsed="false">
      <c r="A66" s="9" t="n">
        <v>65</v>
      </c>
      <c r="B66" s="9" t="s">
        <v>74</v>
      </c>
      <c r="C66" s="10" t="n">
        <v>46362</v>
      </c>
      <c r="D66" s="9"/>
      <c r="E66" s="9" t="s">
        <v>179</v>
      </c>
      <c r="F66" s="9"/>
      <c r="G66" s="9"/>
      <c r="H66" s="9"/>
      <c r="I66" s="9"/>
      <c r="J66" s="9"/>
      <c r="K66" s="9"/>
      <c r="L66" s="9"/>
      <c r="M66" s="9"/>
      <c r="N66" s="9" t="s">
        <v>180</v>
      </c>
    </row>
    <row r="67" customFormat="false" ht="23.25" hidden="false" customHeight="true" outlineLevel="0" collapsed="false">
      <c r="A67" s="9" t="n">
        <v>66</v>
      </c>
      <c r="B67" s="9" t="s">
        <v>84</v>
      </c>
      <c r="C67" s="10" t="n">
        <v>46363</v>
      </c>
      <c r="D67" s="9"/>
      <c r="E67" s="9" t="s">
        <v>179</v>
      </c>
      <c r="F67" s="9"/>
      <c r="G67" s="9"/>
      <c r="H67" s="9"/>
      <c r="I67" s="9"/>
      <c r="J67" s="9"/>
      <c r="K67" s="9"/>
      <c r="L67" s="9"/>
      <c r="M67" s="9"/>
      <c r="N67" s="9" t="s">
        <v>180</v>
      </c>
    </row>
    <row r="68" customFormat="false" ht="23.25" hidden="false" customHeight="true" outlineLevel="0" collapsed="false">
      <c r="A68" s="9" t="n">
        <v>67</v>
      </c>
      <c r="B68" s="9" t="s">
        <v>95</v>
      </c>
      <c r="C68" s="10" t="n">
        <v>46364</v>
      </c>
      <c r="D68" s="9" t="s">
        <v>155</v>
      </c>
      <c r="E68" s="9" t="s">
        <v>214</v>
      </c>
      <c r="F68" s="9" t="s">
        <v>215</v>
      </c>
      <c r="G68" s="9" t="s">
        <v>216</v>
      </c>
      <c r="H68" s="9" t="s">
        <v>217</v>
      </c>
      <c r="I68" s="9" t="s">
        <v>218</v>
      </c>
      <c r="J68" s="9" t="s">
        <v>219</v>
      </c>
      <c r="K68" s="9" t="s">
        <v>220</v>
      </c>
      <c r="L68" s="9" t="s">
        <v>221</v>
      </c>
      <c r="M68" s="9" t="s">
        <v>52</v>
      </c>
      <c r="N68" s="9" t="s">
        <v>146</v>
      </c>
    </row>
    <row r="69" customFormat="false" ht="57" hidden="false" customHeight="true" outlineLevel="0" collapsed="false">
      <c r="A69" s="6" t="n">
        <v>68</v>
      </c>
      <c r="B69" s="6" t="s">
        <v>32</v>
      </c>
      <c r="C69" s="7" t="n">
        <v>46365</v>
      </c>
      <c r="D69" s="6"/>
      <c r="E69" s="6" t="s">
        <v>179</v>
      </c>
      <c r="F69" s="6"/>
      <c r="G69" s="6"/>
      <c r="H69" s="6"/>
      <c r="I69" s="6"/>
      <c r="J69" s="6"/>
      <c r="K69" s="8"/>
      <c r="L69" s="6"/>
      <c r="M69" s="6"/>
      <c r="N69" s="6" t="s">
        <v>180</v>
      </c>
    </row>
    <row r="70" customFormat="false" ht="23.25" hidden="false" customHeight="true" outlineLevel="0" collapsed="false">
      <c r="A70" s="9" t="n">
        <v>69</v>
      </c>
      <c r="B70" s="9" t="s">
        <v>43</v>
      </c>
      <c r="C70" s="10" t="n">
        <v>46366</v>
      </c>
      <c r="D70" s="9"/>
      <c r="E70" s="9" t="s">
        <v>179</v>
      </c>
      <c r="F70" s="9"/>
      <c r="G70" s="9"/>
      <c r="H70" s="9"/>
      <c r="I70" s="9"/>
      <c r="J70" s="9"/>
      <c r="K70" s="9"/>
      <c r="L70" s="9"/>
      <c r="M70" s="9"/>
      <c r="N70" s="9" t="s">
        <v>180</v>
      </c>
    </row>
    <row r="71" customFormat="false" ht="23.25" hidden="false" customHeight="true" outlineLevel="0" collapsed="false">
      <c r="A71" s="9" t="n">
        <v>70</v>
      </c>
      <c r="B71" s="9" t="s">
        <v>62</v>
      </c>
      <c r="C71" s="10" t="n">
        <v>46367</v>
      </c>
      <c r="D71" s="9"/>
      <c r="E71" s="9" t="s">
        <v>179</v>
      </c>
      <c r="F71" s="9"/>
      <c r="G71" s="9"/>
      <c r="H71" s="9"/>
      <c r="I71" s="9"/>
      <c r="J71" s="9"/>
      <c r="K71" s="9"/>
      <c r="L71" s="9"/>
      <c r="M71" s="9"/>
      <c r="N71" s="9" t="s">
        <v>180</v>
      </c>
    </row>
    <row r="72" customFormat="false" ht="23.25" hidden="false" customHeight="true" outlineLevel="0" collapsed="false">
      <c r="A72" s="9" t="n">
        <v>71</v>
      </c>
      <c r="B72" s="9" t="s">
        <v>65</v>
      </c>
      <c r="C72" s="10" t="n">
        <v>46368</v>
      </c>
      <c r="D72" s="9"/>
      <c r="E72" s="9" t="s">
        <v>179</v>
      </c>
      <c r="F72" s="9"/>
      <c r="G72" s="9"/>
      <c r="H72" s="9"/>
      <c r="I72" s="9"/>
      <c r="J72" s="9"/>
      <c r="K72" s="9"/>
      <c r="L72" s="9"/>
      <c r="M72" s="9"/>
      <c r="N72" s="9" t="s">
        <v>180</v>
      </c>
    </row>
    <row r="73" customFormat="false" ht="23.25" hidden="false" customHeight="true" outlineLevel="0" collapsed="false">
      <c r="A73" s="9" t="n">
        <v>72</v>
      </c>
      <c r="B73" s="9" t="s">
        <v>74</v>
      </c>
      <c r="C73" s="10" t="n">
        <v>46369</v>
      </c>
      <c r="D73" s="9"/>
      <c r="E73" s="9" t="s">
        <v>179</v>
      </c>
      <c r="F73" s="9"/>
      <c r="G73" s="9"/>
      <c r="H73" s="9"/>
      <c r="I73" s="9"/>
      <c r="J73" s="9"/>
      <c r="K73" s="9"/>
      <c r="L73" s="9"/>
      <c r="M73" s="9"/>
      <c r="N73" s="9" t="s">
        <v>180</v>
      </c>
    </row>
    <row r="74" customFormat="false" ht="23.25" hidden="false" customHeight="true" outlineLevel="0" collapsed="false">
      <c r="A74" s="9" t="n">
        <v>73</v>
      </c>
      <c r="B74" s="9" t="s">
        <v>84</v>
      </c>
      <c r="C74" s="10" t="n">
        <v>46370</v>
      </c>
      <c r="D74" s="9"/>
      <c r="E74" s="9" t="s">
        <v>179</v>
      </c>
      <c r="F74" s="9"/>
      <c r="G74" s="9"/>
      <c r="H74" s="9"/>
      <c r="I74" s="9"/>
      <c r="J74" s="9"/>
      <c r="K74" s="9"/>
      <c r="L74" s="9"/>
      <c r="M74" s="9"/>
      <c r="N74" s="9" t="s">
        <v>180</v>
      </c>
    </row>
    <row r="75" customFormat="false" ht="23.25" hidden="false" customHeight="true" outlineLevel="0" collapsed="false">
      <c r="A75" s="9" t="n">
        <v>74</v>
      </c>
      <c r="B75" s="9" t="s">
        <v>95</v>
      </c>
      <c r="C75" s="10" t="n">
        <v>46371</v>
      </c>
      <c r="D75" s="9" t="s">
        <v>155</v>
      </c>
      <c r="E75" s="9" t="s">
        <v>222</v>
      </c>
      <c r="F75" s="9" t="s">
        <v>223</v>
      </c>
      <c r="G75" s="9" t="s">
        <v>224</v>
      </c>
      <c r="H75" s="9" t="s">
        <v>225</v>
      </c>
      <c r="I75" s="9" t="s">
        <v>226</v>
      </c>
      <c r="J75" s="9" t="s">
        <v>227</v>
      </c>
      <c r="K75" s="9" t="s">
        <v>228</v>
      </c>
      <c r="L75" s="9" t="s">
        <v>229</v>
      </c>
      <c r="M75" s="9" t="s">
        <v>230</v>
      </c>
      <c r="N75" s="9" t="s">
        <v>146</v>
      </c>
    </row>
    <row r="76" customFormat="false" ht="68.25" hidden="false" customHeight="true" outlineLevel="0" collapsed="false">
      <c r="A76" s="11" t="n">
        <v>75</v>
      </c>
      <c r="B76" s="11" t="s">
        <v>32</v>
      </c>
      <c r="C76" s="12" t="n">
        <v>46372</v>
      </c>
      <c r="D76" s="11"/>
      <c r="E76" s="11" t="s">
        <v>179</v>
      </c>
      <c r="F76" s="11"/>
      <c r="G76" s="11"/>
      <c r="H76" s="11"/>
      <c r="I76" s="11"/>
      <c r="J76" s="11"/>
      <c r="K76" s="13"/>
      <c r="L76" s="11"/>
      <c r="M76" s="11"/>
      <c r="N76" s="11" t="s">
        <v>180</v>
      </c>
    </row>
    <row r="77" customFormat="false" ht="23.25" hidden="false" customHeight="true" outlineLevel="0" collapsed="false">
      <c r="A77" s="9" t="n">
        <v>76</v>
      </c>
      <c r="B77" s="9" t="s">
        <v>43</v>
      </c>
      <c r="C77" s="10" t="n">
        <v>46373</v>
      </c>
      <c r="D77" s="9"/>
      <c r="E77" s="9" t="s">
        <v>179</v>
      </c>
      <c r="F77" s="9"/>
      <c r="G77" s="9"/>
      <c r="H77" s="9"/>
      <c r="I77" s="9"/>
      <c r="J77" s="9"/>
      <c r="K77" s="9"/>
      <c r="L77" s="9"/>
      <c r="M77" s="9"/>
      <c r="N77" s="9" t="s">
        <v>180</v>
      </c>
    </row>
    <row r="78" customFormat="false" ht="23.25" hidden="false" customHeight="true" outlineLevel="0" collapsed="false">
      <c r="A78" s="9" t="n">
        <v>77</v>
      </c>
      <c r="B78" s="9" t="s">
        <v>62</v>
      </c>
      <c r="C78" s="10" t="n">
        <v>46374</v>
      </c>
      <c r="D78" s="9"/>
      <c r="E78" s="9" t="s">
        <v>179</v>
      </c>
      <c r="F78" s="9"/>
      <c r="G78" s="9"/>
      <c r="H78" s="9"/>
      <c r="I78" s="9"/>
      <c r="J78" s="9"/>
      <c r="K78" s="9"/>
      <c r="L78" s="9"/>
      <c r="M78" s="9"/>
      <c r="N78" s="9" t="s">
        <v>180</v>
      </c>
    </row>
    <row r="79" customFormat="false" ht="23.25" hidden="false" customHeight="true" outlineLevel="0" collapsed="false">
      <c r="A79" s="9" t="n">
        <v>78</v>
      </c>
      <c r="B79" s="9" t="s">
        <v>65</v>
      </c>
      <c r="C79" s="10" t="n">
        <v>46375</v>
      </c>
      <c r="D79" s="9"/>
      <c r="E79" s="9" t="s">
        <v>179</v>
      </c>
      <c r="F79" s="9"/>
      <c r="G79" s="9"/>
      <c r="H79" s="9"/>
      <c r="I79" s="9"/>
      <c r="J79" s="9"/>
      <c r="K79" s="9"/>
      <c r="L79" s="9"/>
      <c r="M79" s="9"/>
      <c r="N79" s="9" t="s">
        <v>180</v>
      </c>
    </row>
    <row r="80" customFormat="false" ht="23.25" hidden="false" customHeight="true" outlineLevel="0" collapsed="false">
      <c r="A80" s="9" t="n">
        <v>79</v>
      </c>
      <c r="B80" s="9" t="s">
        <v>74</v>
      </c>
      <c r="C80" s="10" t="n">
        <v>46376</v>
      </c>
      <c r="D80" s="9"/>
      <c r="E80" s="9" t="s">
        <v>179</v>
      </c>
      <c r="F80" s="9"/>
      <c r="G80" s="9"/>
      <c r="H80" s="9"/>
      <c r="I80" s="9"/>
      <c r="J80" s="9"/>
      <c r="K80" s="9"/>
      <c r="L80" s="9"/>
      <c r="M80" s="9"/>
      <c r="N80" s="9" t="s">
        <v>180</v>
      </c>
    </row>
  </sheetData>
  <autoFilter ref="A1:N80"/>
  <dataValidations count="1">
    <dataValidation allowBlank="true" errorStyle="stop" operator="between" showDropDown="false" showErrorMessage="false" showInputMessage="false" sqref="N2:N80"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231</v>
      </c>
      <c r="B1" s="14" t="s">
        <v>232</v>
      </c>
    </row>
    <row r="2" customFormat="false" ht="15" hidden="false" customHeight="true" outlineLevel="0" collapsed="false">
      <c r="A2" s="15" t="s">
        <v>233</v>
      </c>
      <c r="B2" s="15" t="n">
        <f aca="false">COUNTA('Lịch đăng'!$A$2:$A$80)</f>
        <v>79</v>
      </c>
    </row>
    <row r="3" customFormat="false" ht="15" hidden="false" customHeight="true" outlineLevel="0" collapsed="false">
      <c r="A3" s="15" t="s">
        <v>26</v>
      </c>
      <c r="B3" s="15" t="n">
        <f aca="false">COUNTIF('Lịch đăng'!$N$2:$N$80,"Đã đăng")</f>
        <v>8</v>
      </c>
    </row>
    <row r="4" customFormat="false" ht="15" hidden="false" customHeight="true" outlineLevel="0" collapsed="false">
      <c r="A4" s="15" t="s">
        <v>234</v>
      </c>
      <c r="B4" s="15" t="n">
        <f aca="false">COUNTIF('Lịch đăng'!$N$2:$N$80,"Cần chủ đề")</f>
        <v>53</v>
      </c>
    </row>
    <row r="5" customFormat="false" ht="15" hidden="false" customHeight="true" outlineLevel="0" collapsed="false">
      <c r="A5" s="15" t="s">
        <v>235</v>
      </c>
      <c r="B5" s="15" t="n">
        <f aca="false">B2-B3-B4</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2026-10-13T06:17:51Z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