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Hướng dẫn" sheetId="1" state="visible" r:id="rId3"/>
    <sheet name="Lịch đăng" sheetId="2" state="visible" r:id="rId4"/>
    <sheet name="Chủ đề" sheetId="3" state="visible" r:id="rId5"/>
    <sheet name="Chủ đề dự phòng" sheetId="4" state="visible" r:id="rId6"/>
  </sheets>
  <definedNames>
    <definedName function="false" hidden="true" localSheetId="1" name="_xlnm._FilterDatabase" vbProcedure="false">'Lịch đăng'!$A$1:$N$43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<sst xmlns="http://schemas.openxmlformats.org/spreadsheetml/2006/main" count="618" uniqueCount="306">
  <si>
    <t xml:space="preserve">Lịch nội dung TikTok Adtek</t>
  </si>
  <si>
    <t xml:space="preserve">Cập nhật</t>
  </si>
  <si>
    <t xml:space="preserve">07/10/2026</t>
  </si>
  <si>
    <t xml:space="preserve">Nhịp đăng</t>
  </si>
  <si>
    <t xml:space="preserve">3 video mỗi tuần (thứ Hai, thứ Tư, thứ Sáu). Mỗi bài blog tách thành 3 video infographic theo 3 góc khác nhau.</t>
  </si>
  <si>
    <t xml:space="preserve">Tuần 1 và 2</t>
  </si>
  <si>
    <t xml:space="preserve">Hai bài đã đăng (AIO, khu công nghiệp FDI). Video đã dựng xong, chờ huấn luyện giọng Eleven v4 để tạo lại giọng đọc.</t>
  </si>
  <si>
    <t xml:space="preserve">Cột cần cập nhật</t>
  </si>
  <si>
    <t xml:space="preserve">Cột "Trạng thái" ở sheet Lịch đăng (chọn từ danh sách). Sheet Chủ đề tự đếm số video đã đăng mỗi tuần.</t>
  </si>
  <si>
    <t xml:space="preserve">Nhu cầu tìm kiếm</t>
  </si>
  <si>
    <t xml:space="preserve">Ước tính theo loại từ khóa và độ nóng chủ đề, chưa đo bằng công cụ. Cần kiểm tra lượng tìm kiếm trên Google Keyword Planner hoặc Ahrefs trước khi viết bài.</t>
  </si>
  <si>
    <t xml:space="preserve">  Cao</t>
  </si>
  <si>
    <t xml:space="preserve">Từ khóa dạng "... là gì", tên nền tảng lớn, hoặc chủ đề theo mùa (Tết, mùa sale).</t>
  </si>
  <si>
    <t xml:space="preserve">  Đang tăng</t>
  </si>
  <si>
    <t xml:space="preserve">Chủ đề mới (AI Mode, mua sắm qua ChatGPT): lượng tìm còn nhỏ nhưng tăng nhanh, ít đối thủ.</t>
  </si>
  <si>
    <t xml:space="preserve">  Thấp, giá trị cao</t>
  </si>
  <si>
    <t xml:space="preserve">Ít người tìm nhưng đúng khách hàng B2B có ngân sách lớn.</t>
  </si>
  <si>
    <t xml:space="preserve">Độ tin cậy nguồn</t>
  </si>
  <si>
    <t xml:space="preserve">Báo cáo gốc từ tổ chức có uy tín (Metric, DataReportal, AppsFlyer, Bain, Adobe, Similarweb, văn bản luật).</t>
  </si>
  <si>
    <t xml:space="preserve">  Cần kiểm chứng</t>
  </si>
  <si>
    <t xml:space="preserve">Số liệu lấy qua trang tổng hợp hoặc bên thứ ba. Phải tìm báo cáo gốc khi viết bài; không có thì bỏ số liệu đó.</t>
  </si>
  <si>
    <t xml:space="preserve">  Nội bộ</t>
  </si>
  <si>
    <t xml:space="preserve">Góc nhìn, checklist của Adtek, không cần số liệu bên ngoài.</t>
  </si>
  <si>
    <t xml:space="preserve">Tổng số video</t>
  </si>
  <si>
    <t xml:space="preserve">Số video đã đăng</t>
  </si>
  <si>
    <t xml:space="preserve">Số video cần kiểm chứng số liệu</t>
  </si>
  <si>
    <t xml:space="preserve">Tuần</t>
  </si>
  <si>
    <t xml:space="preserve">Ngày đăng</t>
  </si>
  <si>
    <t xml:space="preserve">Dịch vụ</t>
  </si>
  <si>
    <t xml:space="preserve">Bài blog</t>
  </si>
  <si>
    <t xml:space="preserve">Từ khóa chính</t>
  </si>
  <si>
    <t xml:space="preserve">Nhu cầu tìm kiếm (ước tính)</t>
  </si>
  <si>
    <t xml:space="preserve">Video</t>
  </si>
  <si>
    <t xml:space="preserve">Góc video</t>
  </si>
  <si>
    <t xml:space="preserve">Câu mở đầu (hook)</t>
  </si>
  <si>
    <t xml:space="preserve">Số liệu chính</t>
  </si>
  <si>
    <t xml:space="preserve">Hình minh họa</t>
  </si>
  <si>
    <t xml:space="preserve">Nguồn</t>
  </si>
  <si>
    <t xml:space="preserve">Trạng thái</t>
  </si>
  <si>
    <t xml:space="preserve">AIO</t>
  </si>
  <si>
    <t xml:space="preserve">AIO là gì? Cách tối ưu nội dung để được AI trích dẫn (đã đăng)</t>
  </si>
  <si>
    <t xml:space="preserve">aio là gì; geo là gì; tối ưu ai overviews</t>
  </si>
  <si>
    <t xml:space="preserve">Đang tăng</t>
  </si>
  <si>
    <t xml:space="preserve">Tỷ lệ bấm giảm khi có tóm tắt AI</t>
  </si>
  <si>
    <t xml:space="preserve">Khách hàng vẫn tìm trên Google, nhưng họ đang ngừng bấm vào bạn.</t>
  </si>
  <si>
    <t xml:space="preserve">Tỷ lệ bấm 15% xuống 8% khi có tóm tắt AI; link trong tóm tắt chỉ ~1%</t>
  </si>
  <si>
    <t xml:space="preserve">Google trên điện thoại + biểu đồ cột</t>
  </si>
  <si>
    <t xml:space="preserve">Pew Research Center, 07/2025</t>
  </si>
  <si>
    <t xml:space="preserve">Cao</t>
  </si>
  <si>
    <t xml:space="preserve">Đã có video, chờ giọng</t>
  </si>
  <si>
    <t xml:space="preserve">Được nhắc tên mạnh hơn backlink</t>
  </si>
  <si>
    <t xml:space="preserve">Muốn được AI nhắc tên? Backlink không còn là thứ quan trọng nhất.</t>
  </si>
  <si>
    <t xml:space="preserve">Tương quan 0.664 (nhắc tên) so với 0.218 (backlink), 75,000 thương hiệu</t>
  </si>
  <si>
    <t xml:space="preserve">Thanh ngang xếp hạng</t>
  </si>
  <si>
    <t xml:space="preserve">Ahrefs; Princeton GEO, KDD 2024</t>
  </si>
  <si>
    <t xml:space="preserve">Đo tỷ lệ xuất hiện thay vì thứ hạng</t>
  </si>
  <si>
    <t xml:space="preserve">Đừng tin bất kỳ ai hứa đưa bạn lên top ChatGPT.</t>
  </si>
  <si>
    <t xml:space="preserve">Dưới 1% khả năng ChatGPT trả về cùng danh sách khi hỏi lại</t>
  </si>
  <si>
    <t xml:space="preserve">Màn hình chatbot + ô vuông 100</t>
  </si>
  <si>
    <t xml:space="preserve">SparkToro và Gumshoe.ai, 2,961 câu lệnh</t>
  </si>
  <si>
    <t xml:space="preserve">Digital Marketing</t>
  </si>
  <si>
    <t xml:space="preserve">Chiến lược digital marketing cho bất động sản khu công nghiệp (đã đăng)</t>
  </si>
  <si>
    <t xml:space="preserve">marketing khu công nghiệp; thu hút FDI</t>
  </si>
  <si>
    <t xml:space="preserve">Thấp, giá trị cao</t>
  </si>
  <si>
    <t xml:space="preserve">Nhà đầu tư lọc bạn từ trên mạng</t>
  </si>
  <si>
    <t xml:space="preserve">Vốn FDI tăng 76%, nhưng nhà đầu tư sẽ không gọi cho bạn đầu tiên.</t>
  </si>
  <si>
    <t xml:space="preserve">FDI 28.5 lên 50.4 tỷ USD; người mua B2B dành 27% thời gian tự nghiên cứu, 17% gặp nhà cung cấp</t>
  </si>
  <si>
    <t xml:space="preserve">Biểu đồ cột + thanh ngang</t>
  </si>
  <si>
    <t xml:space="preserve">Cục Thống kê; Gartner</t>
  </si>
  <si>
    <t xml:space="preserve">Website song ngữ là chưa đủ</t>
  </si>
  <si>
    <t xml:space="preserve">Website khu công nghiệp chỉ có tiếng Việt và tiếng Anh?</t>
  </si>
  <si>
    <t xml:space="preserve">Singapore 35.1%, Hàn Quốc 26.1% vốn FDI mới 8 tháng 2026</t>
  </si>
  <si>
    <t xml:space="preserve">Biểu đồ cột + danh sách</t>
  </si>
  <si>
    <t xml:space="preserve">Cổng Thông tin điện tử Chính phủ</t>
  </si>
  <si>
    <t xml:space="preserve">Đừng quảng cáo bằng giá đất</t>
  </si>
  <si>
    <t xml:space="preserve">Quảng cáo khu công nghiệp bằng giá thuê đất rẻ?</t>
  </si>
  <si>
    <t xml:space="preserve">JETRO: top 3 lợi thế không có giá đất; 67.5% lo thủ tục hành chính</t>
  </si>
  <si>
    <t xml:space="preserve">Thanh ngang + ô vuông 100</t>
  </si>
  <si>
    <t xml:space="preserve">JETRO, khảo sát FY2025</t>
  </si>
  <si>
    <t xml:space="preserve">Performance Marketing</t>
  </si>
  <si>
    <t xml:space="preserve">TikTok Shop hay Shopee: chọn sàn nào trước mùa sale 11.11, 12.12?</t>
  </si>
  <si>
    <t xml:space="preserve">tiktok shop; bán hàng trên tiktok shop; quảng cáo tiktok shop</t>
  </si>
  <si>
    <t xml:space="preserve">Thị phần TikTok Shop tăng vọt</t>
  </si>
  <si>
    <t xml:space="preserve">Một năm trước TikTok Shop chỉ bằng nửa Shopee. Giờ thì sao?</t>
  </si>
  <si>
    <t xml:space="preserve">TikTok Shop 21% lên 37% thị phần; thương mại điện tử nửa đầu 2026 đạt 291.6 nghìn tỷ đồng, tăng 44.1%</t>
  </si>
  <si>
    <t xml:space="preserve">Biểu đồ cột trước và sau</t>
  </si>
  <si>
    <t xml:space="preserve">Metric.vn, báo cáo nửa đầu 2026</t>
  </si>
  <si>
    <t xml:space="preserve">Ý tưởng</t>
  </si>
  <si>
    <t xml:space="preserve">Tết vừa rồi TikTok Shop vượt Shopee</t>
  </si>
  <si>
    <t xml:space="preserve">Mùa Tết vừa rồi, sàn nào bán nhiều hơn?</t>
  </si>
  <si>
    <t xml:space="preserve">TikTok Shop chiếm 52% thị phần mùa Tết; người mua chi 2.6 tỷ USD</t>
  </si>
  <si>
    <t xml:space="preserve">Ô vuông 100</t>
  </si>
  <si>
    <t xml:space="preserve">Metric.vn, mùa Tết 2026</t>
  </si>
  <si>
    <t xml:space="preserve">Checklist chuẩn bị 11.11</t>
  </si>
  <si>
    <t xml:space="preserve">Còn 2 tuần tới 11.11. Shop của bạn đã sẵn sàng chưa?</t>
  </si>
  <si>
    <t xml:space="preserve">4 việc: dồn hàng chủ lực, video sản phẩm, livestream, quảng cáo GMV</t>
  </si>
  <si>
    <t xml:space="preserve">Danh sách 4 bước</t>
  </si>
  <si>
    <t xml:space="preserve">Tổng hợp từ thực tế triển khai của Adtek</t>
  </si>
  <si>
    <t xml:space="preserve">Nội bộ</t>
  </si>
  <si>
    <t xml:space="preserve">SEO, AIO</t>
  </si>
  <si>
    <t xml:space="preserve">Zero-click search: 68% lượt tìm Google không có ai bấm, SEO làm gì tiếp?</t>
  </si>
  <si>
    <t xml:space="preserve">zero click search; traffic website giảm; seo 2026</t>
  </si>
  <si>
    <t xml:space="preserve">Trung bình, đang tăng</t>
  </si>
  <si>
    <t xml:space="preserve">68% lượt tìm kết thúc không có click</t>
  </si>
  <si>
    <t xml:space="preserve">Cứ 100 lượt tìm trên Google, 68 lượt kết thúc mà không ai bấm vào website nào.</t>
  </si>
  <si>
    <t xml:space="preserve">Zero-click 60.45% (2024) lên 68.01% (4 tháng đầu 2026)</t>
  </si>
  <si>
    <t xml:space="preserve">Biểu đồ cột + ô vuông 100</t>
  </si>
  <si>
    <t xml:space="preserve">Similarweb và SparkToro, 06/2026</t>
  </si>
  <si>
    <t xml:space="preserve">1,000 lượt tìm, chỉ 276 click tới web</t>
  </si>
  <si>
    <t xml:space="preserve">1,000 người tìm trên Google. Bao nhiêu người thật sự vào website?</t>
  </si>
  <si>
    <t xml:space="preserve">Chỉ ~276 click trên 1,000 lượt tìm tới website bên ngoài</t>
  </si>
  <si>
    <t xml:space="preserve">Thanh ngang chia nhóm click</t>
  </si>
  <si>
    <t xml:space="preserve">Đổi thước đo SEO</t>
  </si>
  <si>
    <t xml:space="preserve">Traffic giảm chưa chắc là SEO thất bại.</t>
  </si>
  <si>
    <t xml:space="preserve">3 chỉ số mới: lượt hiển thị, tỷ lệ xuất hiện trong AI, lượt tìm tên thương hiệu</t>
  </si>
  <si>
    <t xml:space="preserve">Danh sách</t>
  </si>
  <si>
    <t xml:space="preserve">Tổng hợp; liên kết bài AIO</t>
  </si>
  <si>
    <t xml:space="preserve">App Marketing</t>
  </si>
  <si>
    <t xml:space="preserve">App retention: vì sao 95% người dùng rời app sau 30 ngày?</t>
  </si>
  <si>
    <t xml:space="preserve">app marketing; retention app; tăng giữ chân người dùng app</t>
  </si>
  <si>
    <t xml:space="preserve">Trung bình</t>
  </si>
  <si>
    <t xml:space="preserve">Chỉ 5 trên 100 người còn ở lại</t>
  </si>
  <si>
    <t xml:space="preserve">100 người cài app của bạn hôm nay. 30 ngày sau còn bao nhiêu?</t>
  </si>
  <si>
    <t xml:space="preserve">Trung bình D1 ~25%, D7 ~12%, D30 ~5-7%</t>
  </si>
  <si>
    <t xml:space="preserve">Tổng hợp AppsFlyer, Adjust, 2025-2026</t>
  </si>
  <si>
    <t xml:space="preserve">Cần kiểm chứng</t>
  </si>
  <si>
    <t xml:space="preserve">Ngành nào giữ chân tốt nhất</t>
  </si>
  <si>
    <t xml:space="preserve">App ngân hàng, mua sắm hay game: ngành nào giữ người dùng lâu nhất?</t>
  </si>
  <si>
    <t xml:space="preserve">D30: Tin tức ~11-13%, Mua sắm sàn ~8-9%, Game ~2-4%, Giáo dục ~2-3%</t>
  </si>
  <si>
    <t xml:space="preserve">Tổng hợp AppsFlyer, Adjust</t>
  </si>
  <si>
    <t xml:space="preserve">Ngày đầu tiên quyết định tất cả</t>
  </si>
  <si>
    <t xml:space="preserve">Ngày đầu tiên quyết định người dùng có quay lại hay không.</t>
  </si>
  <si>
    <t xml:space="preserve">4 việc: onboarding ngắn, giá trị trong 60 giây, thông báo đúng lúc, ưu đãi lần mở thứ 2</t>
  </si>
  <si>
    <t xml:space="preserve">Tổng hợp</t>
  </si>
  <si>
    <t xml:space="preserve">AIO, Performance Marketing</t>
  </si>
  <si>
    <t xml:space="preserve">Khách từ ChatGPT mua nhiều hơn: chuẩn bị gì cho Black Friday?</t>
  </si>
  <si>
    <t xml:space="preserve">chatgpt shopping; bán hàng trên chatgpt; ai search</t>
  </si>
  <si>
    <t xml:space="preserve">Khách từ AI chuyển đổi cao gấp 3</t>
  </si>
  <si>
    <t xml:space="preserve">Khách đến từ ChatGPT mua hàng nhiều gần gấp 3 khách từ Google.</t>
  </si>
  <si>
    <t xml:space="preserve">Tỷ lệ chuyển đổi 3.6% so với 1.23% (35,000 thương hiệu)</t>
  </si>
  <si>
    <t xml:space="preserve">Biểu đồ cột</t>
  </si>
  <si>
    <t xml:space="preserve">Lebesgue, 2026</t>
  </si>
  <si>
    <t xml:space="preserve">ChatGPT chiếm gần hết traffic AI</t>
  </si>
  <si>
    <t xml:space="preserve">Trong các chatbot AI, ai đang gửi khách tới website nhiều nhất?</t>
  </si>
  <si>
    <t xml:space="preserve">ChatGPT 92.2%, Gemini 5%, Perplexity 1.9%</t>
  </si>
  <si>
    <t xml:space="preserve">Thanh ngang</t>
  </si>
  <si>
    <t xml:space="preserve">Tổng hợp từ báo cáo eMarketer, Grips</t>
  </si>
  <si>
    <t xml:space="preserve">Khách AI chi nhiều hơn</t>
  </si>
  <si>
    <t xml:space="preserve">Khách đến từ AI không chỉ mua nhiều hơn, họ còn chi nhiều hơn.</t>
  </si>
  <si>
    <t xml:space="preserve">Doanh thu mỗi lượt truy cập cao hơn 53%, chuyển đổi cao hơn 54%</t>
  </si>
  <si>
    <t xml:space="preserve">Adobe Analytics, 05/2026</t>
  </si>
  <si>
    <t xml:space="preserve">Meta Advantage+ có thật sự hiệu quả? Khi AI chạy quảng cáo thay bạn</t>
  </si>
  <si>
    <t xml:space="preserve">advantage+ là gì; quảng cáo facebook 2026; chạy quảng cáo facebook</t>
  </si>
  <si>
    <t xml:space="preserve">AI đã chạy quảng cáo thay bạn</t>
  </si>
  <si>
    <t xml:space="preserve">9 triệu doanh nghiệp đang để AI của Meta làm quảng cáo cho họ.</t>
  </si>
  <si>
    <t xml:space="preserve">Advantage+ đạt 75 tỷ USD doanh thu năm; 9 triệu doanh nghiệp dùng công cụ AI</t>
  </si>
  <si>
    <t xml:space="preserve">Meta, báo cáo tài chính 2026</t>
  </si>
  <si>
    <t xml:space="preserve">ROAS cao hơn nhưng chi phí khách mới tăng</t>
  </si>
  <si>
    <t xml:space="preserve">Giao hết cho AI thì quảng cáo rẻ hơn? Chưa chắc.</t>
  </si>
  <si>
    <t xml:space="preserve">ROAS cao hơn ~22% so với chạy tay; chi phí khách mới tăng gấp đôi ở nhiều thương hiệu</t>
  </si>
  <si>
    <t xml:space="preserve">Madgicx 2026 (bên thứ ba)</t>
  </si>
  <si>
    <t xml:space="preserve">Creative là cách nhắm khách mới</t>
  </si>
  <si>
    <t xml:space="preserve">Khi AI tự chọn người xem, việc của bạn còn lại là gì?</t>
  </si>
  <si>
    <t xml:space="preserve">4 việc: nhiều mẫu creative, dữ liệu chuyển đổi chuẩn, loại khách cũ, đo lợi nhuận</t>
  </si>
  <si>
    <t xml:space="preserve">Growth Marketing</t>
  </si>
  <si>
    <t xml:space="preserve">Giữ khách rẻ hơn tìm khách mới: bài toán tăng trưởng sau mùa sale</t>
  </si>
  <si>
    <t xml:space="preserve">growth marketing; customer retention; giữ chân khách hàng</t>
  </si>
  <si>
    <t xml:space="preserve">Chi phí tìm khách mới tăng 60%</t>
  </si>
  <si>
    <t xml:space="preserve">Chi phí để có một khách hàng mới đã tăng 60% trong 5 năm.</t>
  </si>
  <si>
    <t xml:space="preserve">CAC tăng ~60% trong 5 năm; tìm khách mới đắt hơn giữ khách cũ 5-7 lần</t>
  </si>
  <si>
    <t xml:space="preserve">Tổng hợp nhiều báo cáo CAC 2026</t>
  </si>
  <si>
    <t xml:space="preserve">Tăng 5% giữ chân, lợi nhuận tăng 25-95%</t>
  </si>
  <si>
    <t xml:space="preserve">Chỉ cần giữ thêm 5% khách hàng, lợi nhuận tăng tới 95%.</t>
  </si>
  <si>
    <t xml:space="preserve">Tăng 5% tỷ lệ giữ chân, lợi nhuận tăng 25% đến 95%</t>
  </si>
  <si>
    <t xml:space="preserve">Bain &amp; Company</t>
  </si>
  <si>
    <t xml:space="preserve">3 việc để khách quay lại</t>
  </si>
  <si>
    <t xml:space="preserve">Khách đã mua một lần. Làm gì để họ mua lần hai?</t>
  </si>
  <si>
    <t xml:space="preserve">Email, chương trình thành viên, gợi ý theo lịch sử mua</t>
  </si>
  <si>
    <t xml:space="preserve">Luật Bảo vệ dữ liệu cá nhân 2026: marketer cần làm gì để không bị phạt?</t>
  </si>
  <si>
    <t xml:space="preserve">luật bảo vệ dữ liệu cá nhân; xin đồng ý dữ liệu; data khách hàng</t>
  </si>
  <si>
    <t xml:space="preserve">Mức phạt tới 5% doanh thu</t>
  </si>
  <si>
    <t xml:space="preserve">Mua bán data khách hàng có thể bị phạt gấp 10 lần số tiền thu được.</t>
  </si>
  <si>
    <t xml:space="preserve">Phạt tới 10 lần khoản thu; tới 5% doanh thu năm trước; tối đa 3 tỷ đồng với vi phạm khác</t>
  </si>
  <si>
    <t xml:space="preserve">Danh sách mức phạt</t>
  </si>
  <si>
    <t xml:space="preserve">Luật Bảo vệ dữ liệu cá nhân, hiệu lực 01/01/2026</t>
  </si>
  <si>
    <t xml:space="preserve">Khách có quyền yêu cầu xóa dữ liệu</t>
  </si>
  <si>
    <t xml:space="preserve">Khách hàng giờ có quyền yêu cầu bạn xóa dữ liệu của họ.</t>
  </si>
  <si>
    <t xml:space="preserve">Các quyền: biết, đồng ý, truy cập, chỉnh sửa, xóa</t>
  </si>
  <si>
    <t xml:space="preserve">Luật Bảo vệ dữ liệu cá nhân</t>
  </si>
  <si>
    <t xml:space="preserve">Checklist dữ liệu cho marketer</t>
  </si>
  <si>
    <t xml:space="preserve">4 việc marketer cần làm ngay với dữ liệu khách hàng.</t>
  </si>
  <si>
    <t xml:space="preserve">Xin đồng ý rõ ràng, ngừng mua data, dữ liệu chính chủ, đo lường phía máy chủ</t>
  </si>
  <si>
    <t xml:space="preserve">Tổng hợp; nên mời luật sư duyệt</t>
  </si>
  <si>
    <t xml:space="preserve">Kế hoạch marketing Tết 2027: lịch 8 tuần và phân bổ ngân sách</t>
  </si>
  <si>
    <t xml:space="preserve">marketing tết 2027; kế hoạch tết; quảng cáo tết</t>
  </si>
  <si>
    <t xml:space="preserve">Cao (theo mùa)</t>
  </si>
  <si>
    <t xml:space="preserve">Tết vừa rồi người mua chi 2.6 tỷ USD online</t>
  </si>
  <si>
    <t xml:space="preserve">Tết vừa rồi người Việt chi 2.6 tỷ USD mua sắm online.</t>
  </si>
  <si>
    <t xml:space="preserve">2.6 tỷ USD mùa Tết; TikTok Shop 52% thị phần</t>
  </si>
  <si>
    <t xml:space="preserve">Metric.vn, Tết 2026</t>
  </si>
  <si>
    <t xml:space="preserve">Lịch 8 tuần trước Tết</t>
  </si>
  <si>
    <t xml:space="preserve">Còn 8 tuần tới Tết. Tuần nào làm gì?</t>
  </si>
  <si>
    <t xml:space="preserve">Tuần 8-6: chuẩn bị; 5-3: tăng tốc; 2-1: chốt đơn; sau Tết: giữ khách</t>
  </si>
  <si>
    <t xml:space="preserve">Danh sách 4 giai đoạn</t>
  </si>
  <si>
    <t xml:space="preserve">Tăng ngân sách không tăng hiệu quả</t>
  </si>
  <si>
    <t xml:space="preserve">Ngân sách quảng cáo tăng 18%, nhưng hiệu quả lại giảm.</t>
  </si>
  <si>
    <t xml:space="preserve">Chi tiêu digital 2026 ~4.7 tỷ USD, +18.4%; ROAS trung bình 3.8x, giảm so với 2025</t>
  </si>
  <si>
    <t xml:space="preserve">Brands Vietnam, tổng hợp 2026</t>
  </si>
  <si>
    <t xml:space="preserve">Thị trường app Việt Nam 2026: lượt cài chững lại, người dùng iOS tăng</t>
  </si>
  <si>
    <t xml:space="preserve">quảng cáo app; aso là gì; app marketing việt nam</t>
  </si>
  <si>
    <t xml:space="preserve">iOS tăng từ 22% lên 33%</t>
  </si>
  <si>
    <t xml:space="preserve">Ở Việt Nam, người dùng iPhone đang chiếm phần lớn hơn trong lượt cài app.</t>
  </si>
  <si>
    <t xml:space="preserve">Android 78% xuống 66%, iOS 22% lên 33% (2017 đến 2025)</t>
  </si>
  <si>
    <t xml:space="preserve">AppsFlyer, State of App Marketing Vietnam</t>
  </si>
  <si>
    <t xml:space="preserve">397 triệu USD đổ vào kéo người dùng app</t>
  </si>
  <si>
    <t xml:space="preserve">Doanh nghiệp Việt chi 397 triệu USD chỉ để người dùng cài app.</t>
  </si>
  <si>
    <t xml:space="preserve">Chi phí kéo người dùng 397 triệu USD; 2.17 tỷ lượt cài năm 2024</t>
  </si>
  <si>
    <t xml:space="preserve">AppsFlyer Việt Nam</t>
  </si>
  <si>
    <t xml:space="preserve">ASO: miễn phí mà ít người làm</t>
  </si>
  <si>
    <t xml:space="preserve">Có một kênh tăng lượt cài app miễn phí mà nhiều doanh nghiệp bỏ quên.</t>
  </si>
  <si>
    <t xml:space="preserve">4 việc ASO: tên app, từ khóa, ảnh chụp màn hình, đánh giá</t>
  </si>
  <si>
    <t xml:space="preserve">Google AI Mode đã có tiếng Việt: SEO 2027 thay đổi thế nào?</t>
  </si>
  <si>
    <t xml:space="preserve">google ai mode; seo 2027; ai overview là gì</t>
  </si>
  <si>
    <t xml:space="preserve">Cao, đang tăng</t>
  </si>
  <si>
    <t xml:space="preserve">AI Mode: 93% phiên không click</t>
  </si>
  <si>
    <t xml:space="preserve">Hỏi AI Mode xong, 93 trên 100 người không bấm vào website nào.</t>
  </si>
  <si>
    <t xml:space="preserve">93% phiên AI Mode không có click ra ngoài</t>
  </si>
  <si>
    <t xml:space="preserve">Semrush, 2025 (cần kiểm tra nguồn gốc)</t>
  </si>
  <si>
    <t xml:space="preserve">CTR giảm mạnh khi có AI Overview</t>
  </si>
  <si>
    <t xml:space="preserve">Đứng top 1 vẫn mất hơn nửa lượt bấm.</t>
  </si>
  <si>
    <t xml:space="preserve">CTR desktop ~13% xuống dưới 5%; mobile ~20% xuống ~7%</t>
  </si>
  <si>
    <t xml:space="preserve">Tổng hợp qua VnReview, cần tìm nghiên cứu gốc</t>
  </si>
  <si>
    <t xml:space="preserve">SEO cho AI Mode</t>
  </si>
  <si>
    <t xml:space="preserve">3 việc để vẫn được nhìn thấy khi Google trả lời thay bạn.</t>
  </si>
  <si>
    <t xml:space="preserve">Trả lời trực tiếp, số liệu có nguồn, được nhắc tên ở nơi khác</t>
  </si>
  <si>
    <t xml:space="preserve">Liên kết bài AIO</t>
  </si>
  <si>
    <t xml:space="preserve">Growth marketing là gì? Khác gì digital marketing và vì sao doanh nghiệp cần</t>
  </si>
  <si>
    <t xml:space="preserve">growth marketing là gì; growth hacking; phễu AARRR</t>
  </si>
  <si>
    <t xml:space="preserve">Cao (tên dịch vụ của Adtek)</t>
  </si>
  <si>
    <t xml:space="preserve">Digital vs growth marketing</t>
  </si>
  <si>
    <t xml:space="preserve">Chạy quảng cáo ra đơn chưa phải là tăng trưởng.</t>
  </si>
  <si>
    <t xml:space="preserve">So sánh: digital marketing tối ưu kênh; growth marketing tối ưu cả phễu từ biết đến giới thiệu</t>
  </si>
  <si>
    <t xml:space="preserve">Danh sách so sánh</t>
  </si>
  <si>
    <t xml:space="preserve">Phễu AARRR 5 bước</t>
  </si>
  <si>
    <t xml:space="preserve">5 chữ cái quyết định doanh nghiệp tăng trưởng hay đứng yên.</t>
  </si>
  <si>
    <t xml:space="preserve">AARRR: thu hút, kích hoạt, giữ chân, giới thiệu, doanh thu</t>
  </si>
  <si>
    <t xml:space="preserve">Dave McClure, mô hình AARRR</t>
  </si>
  <si>
    <t xml:space="preserve">Thử nghiệm nhỏ, nhân rộng nhanh</t>
  </si>
  <si>
    <t xml:space="preserve">Growth marketer không đoán. Họ thử nghiệm.</t>
  </si>
  <si>
    <t xml:space="preserve">Quy trình: giả thuyết, thử nghiệm A/B, đo, nhân rộng</t>
  </si>
  <si>
    <t xml:space="preserve">Xu hướng digital marketing 2027 tại Việt Nam: 10 con số cần biết</t>
  </si>
  <si>
    <t xml:space="preserve">xu hướng marketing 2027; thống kê digital việt nam; digital 2027</t>
  </si>
  <si>
    <t xml:space="preserve">TikTok có 76.1 triệu người dùng trưởng thành</t>
  </si>
  <si>
    <t xml:space="preserve">76 triệu người Việt trưởng thành đang dùng TikTok.</t>
  </si>
  <si>
    <t xml:space="preserve">TikTok 76.1 triệu người dùng trưởng thành, +9.9%</t>
  </si>
  <si>
    <t xml:space="preserve">DataReportal, Digital 2026 Vietnam</t>
  </si>
  <si>
    <t xml:space="preserve">84% dân số online</t>
  </si>
  <si>
    <t xml:space="preserve">85.6 triệu người Việt dùng internet. Khách hàng của bạn ở kênh nào?</t>
  </si>
  <si>
    <t xml:space="preserve">85.6 triệu người dùng internet (84.2%); 79 triệu tài khoản mạng xã hội</t>
  </si>
  <si>
    <t xml:space="preserve">Tìm kiếm không chỉ trên Google</t>
  </si>
  <si>
    <t xml:space="preserve">Người trẻ tìm kiếm trên TikTok nhiều hơn bạn nghĩ.</t>
  </si>
  <si>
    <t xml:space="preserve">65% Gen Z từng dùng TikTok để tìm kiếm (Mỹ); 49% người dùng Mỹ năm 2026</t>
  </si>
  <si>
    <t xml:space="preserve">Tổng hợp SocialPilot, số liệu Mỹ</t>
  </si>
  <si>
    <t xml:space="preserve">Tuần bắt đầu</t>
  </si>
  <si>
    <t xml:space="preserve">Vì sao nên làm lúc này</t>
  </si>
  <si>
    <t xml:space="preserve">Số video</t>
  </si>
  <si>
    <t xml:space="preserve">Google AI Mode đã có tiếng Việt; marketer đang tìm cách xuất hiện trong câu trả lời AI.</t>
  </si>
  <si>
    <t xml:space="preserve">Vốn FDI 9 tháng 2026 tăng 76.4%; từ khóa ngách B2B, ít người tìm nhưng đúng khách hàng.</t>
  </si>
  <si>
    <t xml:space="preserve">Mùa sale cuối năm; TikTok Shop tăng thị phần nhanh nhất, chủ shop đang phân vân dồn ngân sách.</t>
  </si>
  <si>
    <t xml:space="preserve">Nhiều website giảm traffic sau các đợt cập nhật lõi 2026; câu hỏi phổ biến của chủ doanh nghiệp.</t>
  </si>
  <si>
    <t xml:space="preserve">Chi phí kéo người dùng app tăng; doanh nghiệp chuyển trọng tâm từ lượt cài sang giữ chân.</t>
  </si>
  <si>
    <t xml:space="preserve">ChatGPT đã có tính năng mua sắm; Black Friday 27/11; traffic từ AI tăng mạnh.</t>
  </si>
  <si>
    <t xml:space="preserve">Meta đẩy mạnh tự động hóa; nhiều chủ shop hỏi có nên giao hết cho AI.</t>
  </si>
  <si>
    <t xml:space="preserve">Sau mùa sale, chi phí khách mới cao; doanh nghiệp cần tăng mua lại.</t>
  </si>
  <si>
    <t xml:space="preserve">Luật có hiệu lực từ 01/01/2026; nhiều doanh nghiệp chưa điều chỉnh cách thu thập data quảng cáo.</t>
  </si>
  <si>
    <t xml:space="preserve">Tết Nguyên Đán 2027 là 06/02/2027; doanh nghiệp lên kế hoạch từ giữa tháng 12.</t>
  </si>
  <si>
    <t xml:space="preserve">Báo cáo AppsFlyer Việt Nam mới; chi phí quảng cáo app tăng, ASO được quan tâm.</t>
  </si>
  <si>
    <t xml:space="preserve">Google ra mắt trải nghiệm tìm kiếm bằng AI tại Việt Nam; từ khóa mới, cạnh tranh còn thấp.</t>
  </si>
  <si>
    <t xml:space="preserve">Từ khóa gắn trực tiếp với định vị "Growth Marketing Agency" của Adtek; bài cũ từ 2022 cần làm mới.</t>
  </si>
  <si>
    <t xml:space="preserve">Đầu năm là lúc tìm kiếm "xu hướng marketing" cao nhất; DataReportal ra báo cáo Digital 2027 khoảng tháng 2.</t>
  </si>
  <si>
    <t xml:space="preserve">Tổng</t>
  </si>
  <si>
    <t xml:space="preserve">Bài blog đề xuất</t>
  </si>
  <si>
    <t xml:space="preserve">Lý do</t>
  </si>
  <si>
    <t xml:space="preserve">SEO, Growth</t>
  </si>
  <si>
    <t xml:space="preserve">SEO trên TikTok: tối ưu để video được tìm thấy</t>
  </si>
  <si>
    <t xml:space="preserve">seo tiktok; tiktok search ads</t>
  </si>
  <si>
    <t xml:space="preserve">Người trẻ dùng TikTok như công cụ tìm kiếm.</t>
  </si>
  <si>
    <t xml:space="preserve">AIO, Digital</t>
  </si>
  <si>
    <t xml:space="preserve">Đo ROI của AI trong marketing: vì sao chỉ 41% marketer chứng minh được?</t>
  </si>
  <si>
    <t xml:space="preserve">roi ai marketing; ứng dụng ai trong marketing</t>
  </si>
  <si>
    <t xml:space="preserve">Khảo sát Jasper 2026: 41% marketer chứng minh được ROI của AI, giảm từ 49%.</t>
  </si>
  <si>
    <t xml:space="preserve">Performance</t>
  </si>
  <si>
    <t xml:space="preserve">Retail media: quảng cáo ngay trên sàn thương mại điện tử</t>
  </si>
  <si>
    <t xml:space="preserve">retail media; quảng cáo shopee; quảng cáo sàn</t>
  </si>
  <si>
    <t xml:space="preserve">Dữ liệu mua sắm chính chủ và vị trí ngay lúc mua.</t>
  </si>
  <si>
    <t xml:space="preserve">Digital, Performance</t>
  </si>
  <si>
    <t xml:space="preserve">Micro và nano KOC: vì sao thương hiệu chuyển ngân sách khỏi KOL lớn</t>
  </si>
  <si>
    <t xml:space="preserve">koc là gì; influencer marketing 2026</t>
  </si>
  <si>
    <t xml:space="preserve">Xu hướng ưu tiên người ảnh hưởng nhỏ, độ tin cậy cao.</t>
  </si>
  <si>
    <t xml:space="preserve">Performance, Digital</t>
  </si>
  <si>
    <t xml:space="preserve">Đo lường phía máy chủ (server-side tracking) khi cookie và quyền riêng tư siết chặt</t>
  </si>
  <si>
    <t xml:space="preserve">server side tracking; conversion api; ga4</t>
  </si>
  <si>
    <t xml:space="preserve">Gắn với Luật Bảo vệ dữ liệu cá nhân và dữ liệu chuyển đổi cho AI quảng cáo.</t>
  </si>
  <si>
    <t xml:space="preserve">Apple Search Ads và Google App Campaign: kênh nào cho app mới</t>
  </si>
  <si>
    <t xml:space="preserve">apple search ads; google app campaign</t>
  </si>
  <si>
    <t xml:space="preserve">iOS tăng thị phần lượt cài tại Việt Nam.</t>
  </si>
</sst>
</file>

<file path=xl/styles.xml><?xml version="1.0" encoding="utf-8"?>
<styleSheet xmlns="http://schemas.openxmlformats.org/spreadsheetml/2006/main">
  <numFmts count="2">
    <numFmt numFmtId="164" formatCode="General"/>
    <numFmt numFmtId="165" formatCode="dd/mm/yyyy"/>
  </numFmts>
  <fonts count="10">
    <font>
      <sz val="11"/>
      <color theme="1"/>
      <name val="Calibri"/>
      <family val="2"/>
      <charset val="1"/>
    </font>
    <font>
      <sz val="10"/>
      <name val="Arial"/>
      <family val="0"/>
    </font>
    <font>
      <sz val="10"/>
      <name val="Arial"/>
      <family val="0"/>
    </font>
    <font>
      <sz val="10"/>
      <name val="Arial"/>
      <family val="0"/>
    </font>
    <font>
      <b val="true"/>
      <sz val="14"/>
      <color rgb="FF002D72"/>
      <name val="Arial"/>
      <family val="0"/>
      <charset val="1"/>
    </font>
    <font>
      <sz val="10"/>
      <name val="Arial"/>
      <family val="0"/>
      <charset val="1"/>
    </font>
    <font>
      <b val="true"/>
      <sz val="10"/>
      <color rgb="FF000000"/>
      <name val="Arial"/>
      <family val="0"/>
      <charset val="1"/>
    </font>
    <font>
      <b val="true"/>
      <sz val="10"/>
      <color rgb="FFFFFFFF"/>
      <name val="Arial"/>
      <family val="0"/>
      <charset val="1"/>
    </font>
    <font>
      <b val="true"/>
      <sz val="10"/>
      <color rgb="FFB54708"/>
      <name val="Arial"/>
      <family val="0"/>
      <charset val="1"/>
    </font>
    <font>
      <b val="true"/>
      <sz val="10"/>
      <name val="Arial"/>
      <family val="0"/>
      <charset val="1"/>
    </font>
  </fonts>
  <fills count="5">
    <fill>
      <patternFill patternType="none"/>
    </fill>
    <fill>
      <patternFill patternType="gray125"/>
    </fill>
    <fill>
      <patternFill patternType="solid">
        <fgColor rgb="FF002D72"/>
        <bgColor rgb="FF333399"/>
      </patternFill>
    </fill>
    <fill>
      <patternFill patternType="solid">
        <fgColor rgb="FFFFFFFF"/>
        <bgColor rgb="FFF3F6FB"/>
      </patternFill>
    </fill>
    <fill>
      <patternFill patternType="solid">
        <fgColor rgb="FFF3F6FB"/>
        <bgColor rgb="FFFFFFFF"/>
      </patternFill>
    </fill>
  </fills>
  <borders count="2">
    <border diagonalUp="false" diagonalDown="false">
      <left/>
      <right/>
      <top/>
      <bottom/>
      <diagonal/>
    </border>
    <border diagonalUp="false" diagonalDown="false">
      <left style="thin">
        <color rgb="FFD0D5DD"/>
      </left>
      <right style="thin">
        <color rgb="FFD0D5DD"/>
      </right>
      <top style="thin">
        <color rgb="FFD0D5DD"/>
      </top>
      <bottom style="thin">
        <color rgb="FFD0D5DD"/>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5" fontId="5" fillId="3"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5" fontId="5" fillId="4"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5" fontId="5" fillId="0" borderId="1"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7" fillId="2"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002D72"/>
          <bgColor rgb="FF000000"/>
        </patternFill>
      </fill>
    </dxf>
    <dxf>
      <fill>
        <patternFill patternType="solid">
          <fgColor rgb="FFF3F6FB"/>
          <bgColor rgb="FF000000"/>
        </patternFill>
      </fill>
    </dxf>
    <dxf>
      <fill>
        <patternFill patternType="solid">
          <fgColor rgb="FFFFFFFF"/>
          <bgColor rgb="FF000000"/>
        </patternFill>
      </fill>
    </dxf>
    <dxf>
      <fill>
        <patternFill patternType="solid">
          <bgColor rgb="FF000000"/>
        </patternFill>
      </fill>
    </dxf>
    <dxf>
      <fill>
        <patternFill patternType="solid">
          <fgColor rgb="FFB54708"/>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3F6FB"/>
      <rgbColor rgb="FFCCFFFF"/>
      <rgbColor rgb="FF660066"/>
      <rgbColor rgb="FFFF8080"/>
      <rgbColor rgb="FF0066CC"/>
      <rgbColor rgb="FFD0D5DD"/>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2D72"/>
      <rgbColor rgb="FF339966"/>
      <rgbColor rgb="FF003300"/>
      <rgbColor rgb="FF333300"/>
      <rgbColor rgb="FFB54708"/>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90"/>
  </cols>
  <sheetData>
    <row r="1" customFormat="false" ht="17.35" hidden="false" customHeight="false" outlineLevel="0" collapsed="false">
      <c r="A1" s="1" t="s">
        <v>0</v>
      </c>
      <c r="B1" s="2"/>
    </row>
    <row r="2" customFormat="false" ht="15" hidden="false" customHeight="false" outlineLevel="0" collapsed="false">
      <c r="A2" s="3" t="s">
        <v>1</v>
      </c>
      <c r="B2" s="2" t="s">
        <v>2</v>
      </c>
    </row>
    <row r="3" customFormat="false" ht="15" hidden="false" customHeight="false" outlineLevel="0" collapsed="false">
      <c r="A3" s="3" t="s">
        <v>3</v>
      </c>
      <c r="B3" s="2" t="s">
        <v>4</v>
      </c>
    </row>
    <row r="4" customFormat="false" ht="23.85" hidden="false" customHeight="false" outlineLevel="0" collapsed="false">
      <c r="A4" s="3" t="s">
        <v>5</v>
      </c>
      <c r="B4" s="2" t="s">
        <v>6</v>
      </c>
    </row>
    <row r="5" customFormat="false" ht="15" hidden="false" customHeight="false" outlineLevel="0" collapsed="false">
      <c r="A5" s="3" t="s">
        <v>7</v>
      </c>
      <c r="B5" s="2" t="s">
        <v>8</v>
      </c>
    </row>
    <row r="6" customFormat="false" ht="23.85" hidden="false" customHeight="false" outlineLevel="0" collapsed="false">
      <c r="A6" s="3" t="s">
        <v>9</v>
      </c>
      <c r="B6" s="2" t="s">
        <v>10</v>
      </c>
    </row>
    <row r="7" customFormat="false" ht="15" hidden="false" customHeight="false" outlineLevel="0" collapsed="false">
      <c r="A7" s="3" t="s">
        <v>11</v>
      </c>
      <c r="B7" s="2" t="s">
        <v>12</v>
      </c>
    </row>
    <row r="8" customFormat="false" ht="15" hidden="false" customHeight="false" outlineLevel="0" collapsed="false">
      <c r="A8" s="3" t="s">
        <v>13</v>
      </c>
      <c r="B8" s="2" t="s">
        <v>14</v>
      </c>
    </row>
    <row r="9" customFormat="false" ht="15" hidden="false" customHeight="false" outlineLevel="0" collapsed="false">
      <c r="A9" s="3" t="s">
        <v>15</v>
      </c>
      <c r="B9" s="2" t="s">
        <v>16</v>
      </c>
    </row>
    <row r="10" customFormat="false" ht="15" hidden="false" customHeight="false" outlineLevel="0" collapsed="false">
      <c r="A10" s="3" t="s">
        <v>17</v>
      </c>
      <c r="B10" s="2"/>
    </row>
    <row r="11" customFormat="false" ht="15" hidden="false" customHeight="false" outlineLevel="0" collapsed="false">
      <c r="A11" s="3" t="s">
        <v>11</v>
      </c>
      <c r="B11" s="2" t="s">
        <v>18</v>
      </c>
    </row>
    <row r="12" customFormat="false" ht="15" hidden="false" customHeight="false" outlineLevel="0" collapsed="false">
      <c r="A12" s="3" t="s">
        <v>19</v>
      </c>
      <c r="B12" s="2" t="s">
        <v>20</v>
      </c>
    </row>
    <row r="13" customFormat="false" ht="15" hidden="false" customHeight="false" outlineLevel="0" collapsed="false">
      <c r="A13" s="3" t="s">
        <v>21</v>
      </c>
      <c r="B13" s="2" t="s">
        <v>22</v>
      </c>
    </row>
    <row r="14" customFormat="false" ht="15" hidden="false" customHeight="false" outlineLevel="0" collapsed="false">
      <c r="A14" s="3" t="s">
        <v>23</v>
      </c>
      <c r="B14" s="2" t="n">
        <f aca="false">COUNTA('Lịch đăng'!A2:A43)</f>
        <v>42</v>
      </c>
    </row>
    <row r="15" customFormat="false" ht="15" hidden="false" customHeight="false" outlineLevel="0" collapsed="false">
      <c r="A15" s="3" t="s">
        <v>24</v>
      </c>
      <c r="B15" s="2" t="n">
        <f aca="false">COUNTIF('Lịch đăng'!N2:N43,"Đã đăng")</f>
        <v>0</v>
      </c>
    </row>
    <row r="16" customFormat="false" ht="15" hidden="false" customHeight="false" outlineLevel="0" collapsed="false">
      <c r="A16" s="3" t="s">
        <v>25</v>
      </c>
      <c r="B16" s="2" t="n">
        <f aca="false">COUNTIF('Lịch đăng'!M2:M43,"Cần kiểm chứng")</f>
        <v>11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4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1"/>
    <col collapsed="false" customWidth="true" hidden="false" outlineLevel="0" max="3" min="3" style="0" width="16"/>
    <col collapsed="false" customWidth="true" hidden="false" outlineLevel="0" max="4" min="4" style="0" width="34"/>
    <col collapsed="false" customWidth="true" hidden="false" outlineLevel="0" max="5" min="5" style="0" width="26"/>
    <col collapsed="false" customWidth="true" hidden="false" outlineLevel="0" max="6" min="6" style="0" width="14"/>
    <col collapsed="false" customWidth="true" hidden="false" outlineLevel="0" max="7" min="7" style="0" width="7"/>
    <col collapsed="false" customWidth="true" hidden="false" outlineLevel="0" max="8" min="8" style="0" width="26"/>
    <col collapsed="false" customWidth="true" hidden="false" outlineLevel="0" max="10" min="9" style="0" width="40"/>
    <col collapsed="false" customWidth="true" hidden="false" outlineLevel="0" max="11" min="11" style="0" width="22"/>
    <col collapsed="false" customWidth="true" hidden="false" outlineLevel="0" max="12" min="12" style="0" width="28"/>
    <col collapsed="false" customWidth="true" hidden="false" outlineLevel="0" max="13" min="13" style="0" width="14"/>
    <col collapsed="false" customWidth="true" hidden="false" outlineLevel="0" max="14" min="14" style="0" width="18"/>
  </cols>
  <sheetData>
    <row r="1" customFormat="false" ht="31.5" hidden="false" customHeight="true" outlineLevel="0" collapsed="false">
      <c r="A1" s="4" t="s">
        <v>26</v>
      </c>
      <c r="B1" s="4" t="s">
        <v>27</v>
      </c>
      <c r="C1" s="4" t="s">
        <v>28</v>
      </c>
      <c r="D1" s="4" t="s">
        <v>29</v>
      </c>
      <c r="E1" s="4" t="s">
        <v>30</v>
      </c>
      <c r="F1" s="4" t="s">
        <v>31</v>
      </c>
      <c r="G1" s="4" t="s">
        <v>32</v>
      </c>
      <c r="H1" s="4" t="s">
        <v>33</v>
      </c>
      <c r="I1" s="4" t="s">
        <v>34</v>
      </c>
      <c r="J1" s="4" t="s">
        <v>35</v>
      </c>
      <c r="K1" s="4" t="s">
        <v>36</v>
      </c>
      <c r="L1" s="4" t="s">
        <v>37</v>
      </c>
      <c r="M1" s="4" t="s">
        <v>17</v>
      </c>
      <c r="N1" s="4" t="s">
        <v>38</v>
      </c>
    </row>
    <row r="2" customFormat="false" ht="23.85" hidden="false" customHeight="false" outlineLevel="0" collapsed="false">
      <c r="A2" s="5" t="n">
        <v>1</v>
      </c>
      <c r="B2" s="6" t="n">
        <v>46307</v>
      </c>
      <c r="C2" s="5" t="s">
        <v>39</v>
      </c>
      <c r="D2" s="5" t="s">
        <v>40</v>
      </c>
      <c r="E2" s="5" t="s">
        <v>41</v>
      </c>
      <c r="F2" s="5" t="s">
        <v>42</v>
      </c>
      <c r="G2" s="5" t="n">
        <v>1</v>
      </c>
      <c r="H2" s="5" t="s">
        <v>43</v>
      </c>
      <c r="I2" s="5" t="s">
        <v>44</v>
      </c>
      <c r="J2" s="5" t="s">
        <v>45</v>
      </c>
      <c r="K2" s="5" t="s">
        <v>46</v>
      </c>
      <c r="L2" s="5" t="s">
        <v>47</v>
      </c>
      <c r="M2" s="5" t="s">
        <v>48</v>
      </c>
      <c r="N2" s="5" t="s">
        <v>49</v>
      </c>
    </row>
    <row r="3" customFormat="false" ht="23.85" hidden="false" customHeight="false" outlineLevel="0" collapsed="false">
      <c r="A3" s="5" t="n">
        <v>1</v>
      </c>
      <c r="B3" s="6" t="n">
        <v>46309</v>
      </c>
      <c r="C3" s="5" t="s">
        <v>39</v>
      </c>
      <c r="D3" s="5" t="s">
        <v>40</v>
      </c>
      <c r="E3" s="5" t="s">
        <v>41</v>
      </c>
      <c r="F3" s="5" t="s">
        <v>42</v>
      </c>
      <c r="G3" s="5" t="n">
        <v>2</v>
      </c>
      <c r="H3" s="5" t="s">
        <v>50</v>
      </c>
      <c r="I3" s="5" t="s">
        <v>51</v>
      </c>
      <c r="J3" s="5" t="s">
        <v>52</v>
      </c>
      <c r="K3" s="5" t="s">
        <v>53</v>
      </c>
      <c r="L3" s="5" t="s">
        <v>54</v>
      </c>
      <c r="M3" s="5" t="s">
        <v>48</v>
      </c>
      <c r="N3" s="5" t="s">
        <v>49</v>
      </c>
    </row>
    <row r="4" customFormat="false" ht="23.85" hidden="false" customHeight="false" outlineLevel="0" collapsed="false">
      <c r="A4" s="5" t="n">
        <v>1</v>
      </c>
      <c r="B4" s="6" t="n">
        <v>46311</v>
      </c>
      <c r="C4" s="5" t="s">
        <v>39</v>
      </c>
      <c r="D4" s="5" t="s">
        <v>40</v>
      </c>
      <c r="E4" s="5" t="s">
        <v>41</v>
      </c>
      <c r="F4" s="5" t="s">
        <v>42</v>
      </c>
      <c r="G4" s="5" t="n">
        <v>3</v>
      </c>
      <c r="H4" s="5" t="s">
        <v>55</v>
      </c>
      <c r="I4" s="5" t="s">
        <v>56</v>
      </c>
      <c r="J4" s="5" t="s">
        <v>57</v>
      </c>
      <c r="K4" s="5" t="s">
        <v>58</v>
      </c>
      <c r="L4" s="5" t="s">
        <v>59</v>
      </c>
      <c r="M4" s="5" t="s">
        <v>48</v>
      </c>
      <c r="N4" s="5" t="s">
        <v>49</v>
      </c>
    </row>
    <row r="5" customFormat="false" ht="35.05" hidden="false" customHeight="false" outlineLevel="0" collapsed="false">
      <c r="A5" s="7" t="n">
        <v>2</v>
      </c>
      <c r="B5" s="8" t="n">
        <v>46314</v>
      </c>
      <c r="C5" s="7" t="s">
        <v>60</v>
      </c>
      <c r="D5" s="7" t="s">
        <v>61</v>
      </c>
      <c r="E5" s="7" t="s">
        <v>62</v>
      </c>
      <c r="F5" s="7" t="s">
        <v>63</v>
      </c>
      <c r="G5" s="7" t="n">
        <v>1</v>
      </c>
      <c r="H5" s="7" t="s">
        <v>64</v>
      </c>
      <c r="I5" s="7" t="s">
        <v>65</v>
      </c>
      <c r="J5" s="7" t="s">
        <v>66</v>
      </c>
      <c r="K5" s="7" t="s">
        <v>67</v>
      </c>
      <c r="L5" s="7" t="s">
        <v>68</v>
      </c>
      <c r="M5" s="7" t="s">
        <v>48</v>
      </c>
      <c r="N5" s="7" t="s">
        <v>49</v>
      </c>
    </row>
    <row r="6" customFormat="false" ht="23.85" hidden="false" customHeight="false" outlineLevel="0" collapsed="false">
      <c r="A6" s="7" t="n">
        <v>2</v>
      </c>
      <c r="B6" s="8" t="n">
        <v>46316</v>
      </c>
      <c r="C6" s="7" t="s">
        <v>60</v>
      </c>
      <c r="D6" s="7" t="s">
        <v>61</v>
      </c>
      <c r="E6" s="7" t="s">
        <v>62</v>
      </c>
      <c r="F6" s="7" t="s">
        <v>63</v>
      </c>
      <c r="G6" s="7" t="n">
        <v>2</v>
      </c>
      <c r="H6" s="7" t="s">
        <v>69</v>
      </c>
      <c r="I6" s="7" t="s">
        <v>70</v>
      </c>
      <c r="J6" s="7" t="s">
        <v>71</v>
      </c>
      <c r="K6" s="7" t="s">
        <v>72</v>
      </c>
      <c r="L6" s="7" t="s">
        <v>73</v>
      </c>
      <c r="M6" s="7" t="s">
        <v>48</v>
      </c>
      <c r="N6" s="7" t="s">
        <v>49</v>
      </c>
    </row>
    <row r="7" customFormat="false" ht="23.85" hidden="false" customHeight="false" outlineLevel="0" collapsed="false">
      <c r="A7" s="7" t="n">
        <v>2</v>
      </c>
      <c r="B7" s="8" t="n">
        <v>46318</v>
      </c>
      <c r="C7" s="7" t="s">
        <v>60</v>
      </c>
      <c r="D7" s="7" t="s">
        <v>61</v>
      </c>
      <c r="E7" s="7" t="s">
        <v>62</v>
      </c>
      <c r="F7" s="7" t="s">
        <v>63</v>
      </c>
      <c r="G7" s="7" t="n">
        <v>3</v>
      </c>
      <c r="H7" s="7" t="s">
        <v>74</v>
      </c>
      <c r="I7" s="7" t="s">
        <v>75</v>
      </c>
      <c r="J7" s="7" t="s">
        <v>76</v>
      </c>
      <c r="K7" s="7" t="s">
        <v>77</v>
      </c>
      <c r="L7" s="7" t="s">
        <v>78</v>
      </c>
      <c r="M7" s="7" t="s">
        <v>48</v>
      </c>
      <c r="N7" s="7" t="s">
        <v>49</v>
      </c>
    </row>
    <row r="8" customFormat="false" ht="35.05" hidden="false" customHeight="false" outlineLevel="0" collapsed="false">
      <c r="A8" s="5" t="n">
        <v>3</v>
      </c>
      <c r="B8" s="6" t="n">
        <v>46321</v>
      </c>
      <c r="C8" s="5" t="s">
        <v>79</v>
      </c>
      <c r="D8" s="5" t="s">
        <v>80</v>
      </c>
      <c r="E8" s="5" t="s">
        <v>81</v>
      </c>
      <c r="F8" s="5" t="s">
        <v>48</v>
      </c>
      <c r="G8" s="5" t="n">
        <v>1</v>
      </c>
      <c r="H8" s="5" t="s">
        <v>82</v>
      </c>
      <c r="I8" s="5" t="s">
        <v>83</v>
      </c>
      <c r="J8" s="5" t="s">
        <v>84</v>
      </c>
      <c r="K8" s="5" t="s">
        <v>85</v>
      </c>
      <c r="L8" s="5" t="s">
        <v>86</v>
      </c>
      <c r="M8" s="5" t="s">
        <v>48</v>
      </c>
      <c r="N8" s="5" t="s">
        <v>87</v>
      </c>
    </row>
    <row r="9" customFormat="false" ht="35.05" hidden="false" customHeight="false" outlineLevel="0" collapsed="false">
      <c r="A9" s="5" t="n">
        <v>3</v>
      </c>
      <c r="B9" s="6" t="n">
        <v>46323</v>
      </c>
      <c r="C9" s="5" t="s">
        <v>79</v>
      </c>
      <c r="D9" s="5" t="s">
        <v>80</v>
      </c>
      <c r="E9" s="5" t="s">
        <v>81</v>
      </c>
      <c r="F9" s="5" t="s">
        <v>48</v>
      </c>
      <c r="G9" s="5" t="n">
        <v>2</v>
      </c>
      <c r="H9" s="5" t="s">
        <v>88</v>
      </c>
      <c r="I9" s="5" t="s">
        <v>89</v>
      </c>
      <c r="J9" s="5" t="s">
        <v>90</v>
      </c>
      <c r="K9" s="5" t="s">
        <v>91</v>
      </c>
      <c r="L9" s="5" t="s">
        <v>92</v>
      </c>
      <c r="M9" s="5" t="s">
        <v>48</v>
      </c>
      <c r="N9" s="5" t="s">
        <v>87</v>
      </c>
    </row>
    <row r="10" customFormat="false" ht="35.05" hidden="false" customHeight="false" outlineLevel="0" collapsed="false">
      <c r="A10" s="5" t="n">
        <v>3</v>
      </c>
      <c r="B10" s="6" t="n">
        <v>46325</v>
      </c>
      <c r="C10" s="5" t="s">
        <v>79</v>
      </c>
      <c r="D10" s="5" t="s">
        <v>80</v>
      </c>
      <c r="E10" s="5" t="s">
        <v>81</v>
      </c>
      <c r="F10" s="5" t="s">
        <v>48</v>
      </c>
      <c r="G10" s="5" t="n">
        <v>3</v>
      </c>
      <c r="H10" s="5" t="s">
        <v>93</v>
      </c>
      <c r="I10" s="5" t="s">
        <v>94</v>
      </c>
      <c r="J10" s="5" t="s">
        <v>95</v>
      </c>
      <c r="K10" s="5" t="s">
        <v>96</v>
      </c>
      <c r="L10" s="5" t="s">
        <v>97</v>
      </c>
      <c r="M10" s="5" t="s">
        <v>98</v>
      </c>
      <c r="N10" s="5" t="s">
        <v>87</v>
      </c>
    </row>
    <row r="11" customFormat="false" ht="23.85" hidden="false" customHeight="false" outlineLevel="0" collapsed="false">
      <c r="A11" s="7" t="n">
        <v>4</v>
      </c>
      <c r="B11" s="8" t="n">
        <v>46328</v>
      </c>
      <c r="C11" s="7" t="s">
        <v>99</v>
      </c>
      <c r="D11" s="7" t="s">
        <v>100</v>
      </c>
      <c r="E11" s="7" t="s">
        <v>101</v>
      </c>
      <c r="F11" s="7" t="s">
        <v>102</v>
      </c>
      <c r="G11" s="7" t="n">
        <v>1</v>
      </c>
      <c r="H11" s="7" t="s">
        <v>103</v>
      </c>
      <c r="I11" s="7" t="s">
        <v>104</v>
      </c>
      <c r="J11" s="7" t="s">
        <v>105</v>
      </c>
      <c r="K11" s="7" t="s">
        <v>106</v>
      </c>
      <c r="L11" s="7" t="s">
        <v>107</v>
      </c>
      <c r="M11" s="7" t="s">
        <v>48</v>
      </c>
      <c r="N11" s="7" t="s">
        <v>87</v>
      </c>
    </row>
    <row r="12" customFormat="false" ht="23.85" hidden="false" customHeight="false" outlineLevel="0" collapsed="false">
      <c r="A12" s="7" t="n">
        <v>4</v>
      </c>
      <c r="B12" s="8" t="n">
        <v>46330</v>
      </c>
      <c r="C12" s="7" t="s">
        <v>99</v>
      </c>
      <c r="D12" s="7" t="s">
        <v>100</v>
      </c>
      <c r="E12" s="7" t="s">
        <v>101</v>
      </c>
      <c r="F12" s="7" t="s">
        <v>102</v>
      </c>
      <c r="G12" s="7" t="n">
        <v>2</v>
      </c>
      <c r="H12" s="7" t="s">
        <v>108</v>
      </c>
      <c r="I12" s="7" t="s">
        <v>109</v>
      </c>
      <c r="J12" s="7" t="s">
        <v>110</v>
      </c>
      <c r="K12" s="7" t="s">
        <v>111</v>
      </c>
      <c r="L12" s="7" t="s">
        <v>107</v>
      </c>
      <c r="M12" s="7" t="s">
        <v>48</v>
      </c>
      <c r="N12" s="7" t="s">
        <v>87</v>
      </c>
    </row>
    <row r="13" customFormat="false" ht="23.85" hidden="false" customHeight="false" outlineLevel="0" collapsed="false">
      <c r="A13" s="7" t="n">
        <v>4</v>
      </c>
      <c r="B13" s="8" t="n">
        <v>46332</v>
      </c>
      <c r="C13" s="7" t="s">
        <v>99</v>
      </c>
      <c r="D13" s="7" t="s">
        <v>100</v>
      </c>
      <c r="E13" s="7" t="s">
        <v>101</v>
      </c>
      <c r="F13" s="7" t="s">
        <v>102</v>
      </c>
      <c r="G13" s="7" t="n">
        <v>3</v>
      </c>
      <c r="H13" s="7" t="s">
        <v>112</v>
      </c>
      <c r="I13" s="7" t="s">
        <v>113</v>
      </c>
      <c r="J13" s="7" t="s">
        <v>114</v>
      </c>
      <c r="K13" s="7" t="s">
        <v>115</v>
      </c>
      <c r="L13" s="7" t="s">
        <v>116</v>
      </c>
      <c r="M13" s="7" t="s">
        <v>98</v>
      </c>
      <c r="N13" s="7" t="s">
        <v>87</v>
      </c>
    </row>
    <row r="14" customFormat="false" ht="23.85" hidden="false" customHeight="false" outlineLevel="0" collapsed="false">
      <c r="A14" s="5" t="n">
        <v>5</v>
      </c>
      <c r="B14" s="6" t="n">
        <v>46335</v>
      </c>
      <c r="C14" s="5" t="s">
        <v>117</v>
      </c>
      <c r="D14" s="5" t="s">
        <v>118</v>
      </c>
      <c r="E14" s="5" t="s">
        <v>119</v>
      </c>
      <c r="F14" s="5" t="s">
        <v>120</v>
      </c>
      <c r="G14" s="5" t="n">
        <v>1</v>
      </c>
      <c r="H14" s="5" t="s">
        <v>121</v>
      </c>
      <c r="I14" s="5" t="s">
        <v>122</v>
      </c>
      <c r="J14" s="5" t="s">
        <v>123</v>
      </c>
      <c r="K14" s="5" t="s">
        <v>91</v>
      </c>
      <c r="L14" s="5" t="s">
        <v>124</v>
      </c>
      <c r="M14" s="9" t="s">
        <v>125</v>
      </c>
      <c r="N14" s="5" t="s">
        <v>87</v>
      </c>
    </row>
    <row r="15" customFormat="false" ht="23.85" hidden="false" customHeight="false" outlineLevel="0" collapsed="false">
      <c r="A15" s="5" t="n">
        <v>5</v>
      </c>
      <c r="B15" s="6" t="n">
        <v>46337</v>
      </c>
      <c r="C15" s="5" t="s">
        <v>117</v>
      </c>
      <c r="D15" s="5" t="s">
        <v>118</v>
      </c>
      <c r="E15" s="5" t="s">
        <v>119</v>
      </c>
      <c r="F15" s="5" t="s">
        <v>120</v>
      </c>
      <c r="G15" s="5" t="n">
        <v>2</v>
      </c>
      <c r="H15" s="5" t="s">
        <v>126</v>
      </c>
      <c r="I15" s="5" t="s">
        <v>127</v>
      </c>
      <c r="J15" s="5" t="s">
        <v>128</v>
      </c>
      <c r="K15" s="5" t="s">
        <v>53</v>
      </c>
      <c r="L15" s="5" t="s">
        <v>129</v>
      </c>
      <c r="M15" s="9" t="s">
        <v>125</v>
      </c>
      <c r="N15" s="5" t="s">
        <v>87</v>
      </c>
    </row>
    <row r="16" customFormat="false" ht="23.85" hidden="false" customHeight="false" outlineLevel="0" collapsed="false">
      <c r="A16" s="5" t="n">
        <v>5</v>
      </c>
      <c r="B16" s="6" t="n">
        <v>46339</v>
      </c>
      <c r="C16" s="5" t="s">
        <v>117</v>
      </c>
      <c r="D16" s="5" t="s">
        <v>118</v>
      </c>
      <c r="E16" s="5" t="s">
        <v>119</v>
      </c>
      <c r="F16" s="5" t="s">
        <v>120</v>
      </c>
      <c r="G16" s="5" t="n">
        <v>3</v>
      </c>
      <c r="H16" s="5" t="s">
        <v>130</v>
      </c>
      <c r="I16" s="5" t="s">
        <v>131</v>
      </c>
      <c r="J16" s="5" t="s">
        <v>132</v>
      </c>
      <c r="K16" s="5" t="s">
        <v>96</v>
      </c>
      <c r="L16" s="5" t="s">
        <v>133</v>
      </c>
      <c r="M16" s="5" t="s">
        <v>98</v>
      </c>
      <c r="N16" s="5" t="s">
        <v>87</v>
      </c>
    </row>
    <row r="17" customFormat="false" ht="23.85" hidden="false" customHeight="false" outlineLevel="0" collapsed="false">
      <c r="A17" s="7" t="n">
        <v>6</v>
      </c>
      <c r="B17" s="8" t="n">
        <v>46342</v>
      </c>
      <c r="C17" s="7" t="s">
        <v>134</v>
      </c>
      <c r="D17" s="7" t="s">
        <v>135</v>
      </c>
      <c r="E17" s="7" t="s">
        <v>136</v>
      </c>
      <c r="F17" s="7" t="s">
        <v>42</v>
      </c>
      <c r="G17" s="7" t="n">
        <v>1</v>
      </c>
      <c r="H17" s="7" t="s">
        <v>137</v>
      </c>
      <c r="I17" s="7" t="s">
        <v>138</v>
      </c>
      <c r="J17" s="7" t="s">
        <v>139</v>
      </c>
      <c r="K17" s="7" t="s">
        <v>140</v>
      </c>
      <c r="L17" s="7" t="s">
        <v>141</v>
      </c>
      <c r="M17" s="10" t="s">
        <v>125</v>
      </c>
      <c r="N17" s="7" t="s">
        <v>87</v>
      </c>
    </row>
    <row r="18" customFormat="false" ht="23.85" hidden="false" customHeight="false" outlineLevel="0" collapsed="false">
      <c r="A18" s="7" t="n">
        <v>6</v>
      </c>
      <c r="B18" s="8" t="n">
        <v>46344</v>
      </c>
      <c r="C18" s="7" t="s">
        <v>134</v>
      </c>
      <c r="D18" s="7" t="s">
        <v>135</v>
      </c>
      <c r="E18" s="7" t="s">
        <v>136</v>
      </c>
      <c r="F18" s="7" t="s">
        <v>42</v>
      </c>
      <c r="G18" s="7" t="n">
        <v>2</v>
      </c>
      <c r="H18" s="7" t="s">
        <v>142</v>
      </c>
      <c r="I18" s="7" t="s">
        <v>143</v>
      </c>
      <c r="J18" s="7" t="s">
        <v>144</v>
      </c>
      <c r="K18" s="7" t="s">
        <v>145</v>
      </c>
      <c r="L18" s="7" t="s">
        <v>146</v>
      </c>
      <c r="M18" s="10" t="s">
        <v>125</v>
      </c>
      <c r="N18" s="7" t="s">
        <v>87</v>
      </c>
    </row>
    <row r="19" customFormat="false" ht="23.85" hidden="false" customHeight="false" outlineLevel="0" collapsed="false">
      <c r="A19" s="7" t="n">
        <v>6</v>
      </c>
      <c r="B19" s="8" t="n">
        <v>46346</v>
      </c>
      <c r="C19" s="7" t="s">
        <v>134</v>
      </c>
      <c r="D19" s="7" t="s">
        <v>135</v>
      </c>
      <c r="E19" s="7" t="s">
        <v>136</v>
      </c>
      <c r="F19" s="7" t="s">
        <v>42</v>
      </c>
      <c r="G19" s="7" t="n">
        <v>3</v>
      </c>
      <c r="H19" s="7" t="s">
        <v>147</v>
      </c>
      <c r="I19" s="7" t="s">
        <v>148</v>
      </c>
      <c r="J19" s="7" t="s">
        <v>149</v>
      </c>
      <c r="K19" s="7" t="s">
        <v>140</v>
      </c>
      <c r="L19" s="7" t="s">
        <v>150</v>
      </c>
      <c r="M19" s="7" t="s">
        <v>48</v>
      </c>
      <c r="N19" s="7" t="s">
        <v>87</v>
      </c>
    </row>
    <row r="20" customFormat="false" ht="35.05" hidden="false" customHeight="false" outlineLevel="0" collapsed="false">
      <c r="A20" s="5" t="n">
        <v>7</v>
      </c>
      <c r="B20" s="6" t="n">
        <v>46349</v>
      </c>
      <c r="C20" s="5" t="s">
        <v>79</v>
      </c>
      <c r="D20" s="5" t="s">
        <v>151</v>
      </c>
      <c r="E20" s="5" t="s">
        <v>152</v>
      </c>
      <c r="F20" s="5" t="s">
        <v>48</v>
      </c>
      <c r="G20" s="5" t="n">
        <v>1</v>
      </c>
      <c r="H20" s="5" t="s">
        <v>153</v>
      </c>
      <c r="I20" s="5" t="s">
        <v>154</v>
      </c>
      <c r="J20" s="5" t="s">
        <v>155</v>
      </c>
      <c r="K20" s="5" t="s">
        <v>140</v>
      </c>
      <c r="L20" s="5" t="s">
        <v>156</v>
      </c>
      <c r="M20" s="9" t="s">
        <v>125</v>
      </c>
      <c r="N20" s="5" t="s">
        <v>87</v>
      </c>
    </row>
    <row r="21" customFormat="false" ht="35.05" hidden="false" customHeight="false" outlineLevel="0" collapsed="false">
      <c r="A21" s="5" t="n">
        <v>7</v>
      </c>
      <c r="B21" s="6" t="n">
        <v>46351</v>
      </c>
      <c r="C21" s="5" t="s">
        <v>79</v>
      </c>
      <c r="D21" s="5" t="s">
        <v>151</v>
      </c>
      <c r="E21" s="5" t="s">
        <v>152</v>
      </c>
      <c r="F21" s="5" t="s">
        <v>48</v>
      </c>
      <c r="G21" s="5" t="n">
        <v>2</v>
      </c>
      <c r="H21" s="5" t="s">
        <v>157</v>
      </c>
      <c r="I21" s="5" t="s">
        <v>158</v>
      </c>
      <c r="J21" s="5" t="s">
        <v>159</v>
      </c>
      <c r="K21" s="5" t="s">
        <v>140</v>
      </c>
      <c r="L21" s="5" t="s">
        <v>160</v>
      </c>
      <c r="M21" s="9" t="s">
        <v>125</v>
      </c>
      <c r="N21" s="5" t="s">
        <v>87</v>
      </c>
    </row>
    <row r="22" customFormat="false" ht="35.05" hidden="false" customHeight="false" outlineLevel="0" collapsed="false">
      <c r="A22" s="5" t="n">
        <v>7</v>
      </c>
      <c r="B22" s="6" t="n">
        <v>46353</v>
      </c>
      <c r="C22" s="5" t="s">
        <v>79</v>
      </c>
      <c r="D22" s="5" t="s">
        <v>151</v>
      </c>
      <c r="E22" s="5" t="s">
        <v>152</v>
      </c>
      <c r="F22" s="5" t="s">
        <v>48</v>
      </c>
      <c r="G22" s="5" t="n">
        <v>3</v>
      </c>
      <c r="H22" s="5" t="s">
        <v>161</v>
      </c>
      <c r="I22" s="5" t="s">
        <v>162</v>
      </c>
      <c r="J22" s="5" t="s">
        <v>163</v>
      </c>
      <c r="K22" s="5" t="s">
        <v>115</v>
      </c>
      <c r="L22" s="5" t="s">
        <v>133</v>
      </c>
      <c r="M22" s="5" t="s">
        <v>98</v>
      </c>
      <c r="N22" s="5" t="s">
        <v>87</v>
      </c>
    </row>
    <row r="23" customFormat="false" ht="23.85" hidden="false" customHeight="false" outlineLevel="0" collapsed="false">
      <c r="A23" s="7" t="n">
        <v>8</v>
      </c>
      <c r="B23" s="8" t="n">
        <v>46356</v>
      </c>
      <c r="C23" s="7" t="s">
        <v>164</v>
      </c>
      <c r="D23" s="7" t="s">
        <v>165</v>
      </c>
      <c r="E23" s="7" t="s">
        <v>166</v>
      </c>
      <c r="F23" s="7" t="s">
        <v>120</v>
      </c>
      <c r="G23" s="7" t="n">
        <v>1</v>
      </c>
      <c r="H23" s="7" t="s">
        <v>167</v>
      </c>
      <c r="I23" s="7" t="s">
        <v>168</v>
      </c>
      <c r="J23" s="7" t="s">
        <v>169</v>
      </c>
      <c r="K23" s="7" t="s">
        <v>140</v>
      </c>
      <c r="L23" s="7" t="s">
        <v>170</v>
      </c>
      <c r="M23" s="10" t="s">
        <v>125</v>
      </c>
      <c r="N23" s="7" t="s">
        <v>87</v>
      </c>
    </row>
    <row r="24" customFormat="false" ht="23.85" hidden="false" customHeight="false" outlineLevel="0" collapsed="false">
      <c r="A24" s="7" t="n">
        <v>8</v>
      </c>
      <c r="B24" s="8" t="n">
        <v>46358</v>
      </c>
      <c r="C24" s="7" t="s">
        <v>164</v>
      </c>
      <c r="D24" s="7" t="s">
        <v>165</v>
      </c>
      <c r="E24" s="7" t="s">
        <v>166</v>
      </c>
      <c r="F24" s="7" t="s">
        <v>120</v>
      </c>
      <c r="G24" s="7" t="n">
        <v>2</v>
      </c>
      <c r="H24" s="7" t="s">
        <v>171</v>
      </c>
      <c r="I24" s="7" t="s">
        <v>172</v>
      </c>
      <c r="J24" s="7" t="s">
        <v>173</v>
      </c>
      <c r="K24" s="7" t="s">
        <v>140</v>
      </c>
      <c r="L24" s="7" t="s">
        <v>174</v>
      </c>
      <c r="M24" s="7" t="s">
        <v>48</v>
      </c>
      <c r="N24" s="7" t="s">
        <v>87</v>
      </c>
    </row>
    <row r="25" customFormat="false" ht="23.85" hidden="false" customHeight="false" outlineLevel="0" collapsed="false">
      <c r="A25" s="7" t="n">
        <v>8</v>
      </c>
      <c r="B25" s="8" t="n">
        <v>46360</v>
      </c>
      <c r="C25" s="7" t="s">
        <v>164</v>
      </c>
      <c r="D25" s="7" t="s">
        <v>165</v>
      </c>
      <c r="E25" s="7" t="s">
        <v>166</v>
      </c>
      <c r="F25" s="7" t="s">
        <v>120</v>
      </c>
      <c r="G25" s="7" t="n">
        <v>3</v>
      </c>
      <c r="H25" s="7" t="s">
        <v>175</v>
      </c>
      <c r="I25" s="7" t="s">
        <v>176</v>
      </c>
      <c r="J25" s="7" t="s">
        <v>177</v>
      </c>
      <c r="K25" s="7" t="s">
        <v>115</v>
      </c>
      <c r="L25" s="7" t="s">
        <v>133</v>
      </c>
      <c r="M25" s="7" t="s">
        <v>98</v>
      </c>
      <c r="N25" s="7" t="s">
        <v>87</v>
      </c>
    </row>
    <row r="26" customFormat="false" ht="35.05" hidden="false" customHeight="false" outlineLevel="0" collapsed="false">
      <c r="A26" s="5" t="n">
        <v>9</v>
      </c>
      <c r="B26" s="6" t="n">
        <v>46363</v>
      </c>
      <c r="C26" s="5" t="s">
        <v>60</v>
      </c>
      <c r="D26" s="5" t="s">
        <v>178</v>
      </c>
      <c r="E26" s="5" t="s">
        <v>179</v>
      </c>
      <c r="F26" s="5" t="s">
        <v>48</v>
      </c>
      <c r="G26" s="5" t="n">
        <v>1</v>
      </c>
      <c r="H26" s="5" t="s">
        <v>180</v>
      </c>
      <c r="I26" s="5" t="s">
        <v>181</v>
      </c>
      <c r="J26" s="5" t="s">
        <v>182</v>
      </c>
      <c r="K26" s="5" t="s">
        <v>183</v>
      </c>
      <c r="L26" s="5" t="s">
        <v>184</v>
      </c>
      <c r="M26" s="5" t="s">
        <v>48</v>
      </c>
      <c r="N26" s="5" t="s">
        <v>87</v>
      </c>
    </row>
    <row r="27" customFormat="false" ht="35.05" hidden="false" customHeight="false" outlineLevel="0" collapsed="false">
      <c r="A27" s="5" t="n">
        <v>9</v>
      </c>
      <c r="B27" s="6" t="n">
        <v>46365</v>
      </c>
      <c r="C27" s="5" t="s">
        <v>60</v>
      </c>
      <c r="D27" s="5" t="s">
        <v>178</v>
      </c>
      <c r="E27" s="5" t="s">
        <v>179</v>
      </c>
      <c r="F27" s="5" t="s">
        <v>48</v>
      </c>
      <c r="G27" s="5" t="n">
        <v>2</v>
      </c>
      <c r="H27" s="5" t="s">
        <v>185</v>
      </c>
      <c r="I27" s="5" t="s">
        <v>186</v>
      </c>
      <c r="J27" s="5" t="s">
        <v>187</v>
      </c>
      <c r="K27" s="5" t="s">
        <v>115</v>
      </c>
      <c r="L27" s="5" t="s">
        <v>188</v>
      </c>
      <c r="M27" s="5" t="s">
        <v>48</v>
      </c>
      <c r="N27" s="5" t="s">
        <v>87</v>
      </c>
    </row>
    <row r="28" customFormat="false" ht="35.05" hidden="false" customHeight="false" outlineLevel="0" collapsed="false">
      <c r="A28" s="5" t="n">
        <v>9</v>
      </c>
      <c r="B28" s="6" t="n">
        <v>46367</v>
      </c>
      <c r="C28" s="5" t="s">
        <v>60</v>
      </c>
      <c r="D28" s="5" t="s">
        <v>178</v>
      </c>
      <c r="E28" s="5" t="s">
        <v>179</v>
      </c>
      <c r="F28" s="5" t="s">
        <v>48</v>
      </c>
      <c r="G28" s="5" t="n">
        <v>3</v>
      </c>
      <c r="H28" s="5" t="s">
        <v>189</v>
      </c>
      <c r="I28" s="5" t="s">
        <v>190</v>
      </c>
      <c r="J28" s="5" t="s">
        <v>191</v>
      </c>
      <c r="K28" s="5" t="s">
        <v>96</v>
      </c>
      <c r="L28" s="5" t="s">
        <v>192</v>
      </c>
      <c r="M28" s="5" t="s">
        <v>98</v>
      </c>
      <c r="N28" s="5" t="s">
        <v>87</v>
      </c>
    </row>
    <row r="29" customFormat="false" ht="23.85" hidden="false" customHeight="false" outlineLevel="0" collapsed="false">
      <c r="A29" s="7" t="n">
        <v>10</v>
      </c>
      <c r="B29" s="8" t="n">
        <v>46370</v>
      </c>
      <c r="C29" s="7" t="s">
        <v>79</v>
      </c>
      <c r="D29" s="7" t="s">
        <v>193</v>
      </c>
      <c r="E29" s="7" t="s">
        <v>194</v>
      </c>
      <c r="F29" s="7" t="s">
        <v>195</v>
      </c>
      <c r="G29" s="7" t="n">
        <v>1</v>
      </c>
      <c r="H29" s="7" t="s">
        <v>196</v>
      </c>
      <c r="I29" s="7" t="s">
        <v>197</v>
      </c>
      <c r="J29" s="7" t="s">
        <v>198</v>
      </c>
      <c r="K29" s="7" t="s">
        <v>140</v>
      </c>
      <c r="L29" s="7" t="s">
        <v>199</v>
      </c>
      <c r="M29" s="7" t="s">
        <v>48</v>
      </c>
      <c r="N29" s="7" t="s">
        <v>87</v>
      </c>
    </row>
    <row r="30" customFormat="false" ht="23.85" hidden="false" customHeight="false" outlineLevel="0" collapsed="false">
      <c r="A30" s="7" t="n">
        <v>10</v>
      </c>
      <c r="B30" s="8" t="n">
        <v>46372</v>
      </c>
      <c r="C30" s="7" t="s">
        <v>79</v>
      </c>
      <c r="D30" s="7" t="s">
        <v>193</v>
      </c>
      <c r="E30" s="7" t="s">
        <v>194</v>
      </c>
      <c r="F30" s="7" t="s">
        <v>195</v>
      </c>
      <c r="G30" s="7" t="n">
        <v>2</v>
      </c>
      <c r="H30" s="7" t="s">
        <v>200</v>
      </c>
      <c r="I30" s="7" t="s">
        <v>201</v>
      </c>
      <c r="J30" s="7" t="s">
        <v>202</v>
      </c>
      <c r="K30" s="7" t="s">
        <v>203</v>
      </c>
      <c r="L30" s="7" t="s">
        <v>133</v>
      </c>
      <c r="M30" s="7" t="s">
        <v>98</v>
      </c>
      <c r="N30" s="7" t="s">
        <v>87</v>
      </c>
    </row>
    <row r="31" customFormat="false" ht="23.85" hidden="false" customHeight="false" outlineLevel="0" collapsed="false">
      <c r="A31" s="7" t="n">
        <v>10</v>
      </c>
      <c r="B31" s="8" t="n">
        <v>46374</v>
      </c>
      <c r="C31" s="7" t="s">
        <v>79</v>
      </c>
      <c r="D31" s="7" t="s">
        <v>193</v>
      </c>
      <c r="E31" s="7" t="s">
        <v>194</v>
      </c>
      <c r="F31" s="7" t="s">
        <v>195</v>
      </c>
      <c r="G31" s="7" t="n">
        <v>3</v>
      </c>
      <c r="H31" s="7" t="s">
        <v>204</v>
      </c>
      <c r="I31" s="7" t="s">
        <v>205</v>
      </c>
      <c r="J31" s="7" t="s">
        <v>206</v>
      </c>
      <c r="K31" s="7" t="s">
        <v>140</v>
      </c>
      <c r="L31" s="7" t="s">
        <v>207</v>
      </c>
      <c r="M31" s="10" t="s">
        <v>125</v>
      </c>
      <c r="N31" s="7" t="s">
        <v>87</v>
      </c>
    </row>
    <row r="32" customFormat="false" ht="23.85" hidden="false" customHeight="false" outlineLevel="0" collapsed="false">
      <c r="A32" s="5" t="n">
        <v>11</v>
      </c>
      <c r="B32" s="6" t="n">
        <v>46377</v>
      </c>
      <c r="C32" s="5" t="s">
        <v>117</v>
      </c>
      <c r="D32" s="5" t="s">
        <v>208</v>
      </c>
      <c r="E32" s="5" t="s">
        <v>209</v>
      </c>
      <c r="F32" s="5" t="s">
        <v>120</v>
      </c>
      <c r="G32" s="5" t="n">
        <v>1</v>
      </c>
      <c r="H32" s="5" t="s">
        <v>210</v>
      </c>
      <c r="I32" s="5" t="s">
        <v>211</v>
      </c>
      <c r="J32" s="5" t="s">
        <v>212</v>
      </c>
      <c r="K32" s="5" t="s">
        <v>140</v>
      </c>
      <c r="L32" s="5" t="s">
        <v>213</v>
      </c>
      <c r="M32" s="5" t="s">
        <v>48</v>
      </c>
      <c r="N32" s="5" t="s">
        <v>87</v>
      </c>
    </row>
    <row r="33" customFormat="false" ht="23.85" hidden="false" customHeight="false" outlineLevel="0" collapsed="false">
      <c r="A33" s="5" t="n">
        <v>11</v>
      </c>
      <c r="B33" s="6" t="n">
        <v>46379</v>
      </c>
      <c r="C33" s="5" t="s">
        <v>117</v>
      </c>
      <c r="D33" s="5" t="s">
        <v>208</v>
      </c>
      <c r="E33" s="5" t="s">
        <v>209</v>
      </c>
      <c r="F33" s="5" t="s">
        <v>120</v>
      </c>
      <c r="G33" s="5" t="n">
        <v>2</v>
      </c>
      <c r="H33" s="5" t="s">
        <v>214</v>
      </c>
      <c r="I33" s="5" t="s">
        <v>215</v>
      </c>
      <c r="J33" s="5" t="s">
        <v>216</v>
      </c>
      <c r="K33" s="5" t="s">
        <v>140</v>
      </c>
      <c r="L33" s="5" t="s">
        <v>217</v>
      </c>
      <c r="M33" s="5" t="s">
        <v>48</v>
      </c>
      <c r="N33" s="5" t="s">
        <v>87</v>
      </c>
    </row>
    <row r="34" customFormat="false" ht="23.85" hidden="false" customHeight="false" outlineLevel="0" collapsed="false">
      <c r="A34" s="5" t="n">
        <v>11</v>
      </c>
      <c r="B34" s="6" t="n">
        <v>46381</v>
      </c>
      <c r="C34" s="5" t="s">
        <v>117</v>
      </c>
      <c r="D34" s="5" t="s">
        <v>208</v>
      </c>
      <c r="E34" s="5" t="s">
        <v>209</v>
      </c>
      <c r="F34" s="5" t="s">
        <v>120</v>
      </c>
      <c r="G34" s="5" t="n">
        <v>3</v>
      </c>
      <c r="H34" s="5" t="s">
        <v>218</v>
      </c>
      <c r="I34" s="5" t="s">
        <v>219</v>
      </c>
      <c r="J34" s="5" t="s">
        <v>220</v>
      </c>
      <c r="K34" s="5" t="s">
        <v>115</v>
      </c>
      <c r="L34" s="5" t="s">
        <v>133</v>
      </c>
      <c r="M34" s="5" t="s">
        <v>98</v>
      </c>
      <c r="N34" s="5" t="s">
        <v>87</v>
      </c>
    </row>
    <row r="35" customFormat="false" ht="23.85" hidden="false" customHeight="false" outlineLevel="0" collapsed="false">
      <c r="A35" s="7" t="n">
        <v>12</v>
      </c>
      <c r="B35" s="8" t="n">
        <v>46384</v>
      </c>
      <c r="C35" s="7" t="s">
        <v>99</v>
      </c>
      <c r="D35" s="7" t="s">
        <v>221</v>
      </c>
      <c r="E35" s="7" t="s">
        <v>222</v>
      </c>
      <c r="F35" s="7" t="s">
        <v>223</v>
      </c>
      <c r="G35" s="7" t="n">
        <v>1</v>
      </c>
      <c r="H35" s="7" t="s">
        <v>224</v>
      </c>
      <c r="I35" s="7" t="s">
        <v>225</v>
      </c>
      <c r="J35" s="7" t="s">
        <v>226</v>
      </c>
      <c r="K35" s="7" t="s">
        <v>91</v>
      </c>
      <c r="L35" s="7" t="s">
        <v>227</v>
      </c>
      <c r="M35" s="10" t="s">
        <v>125</v>
      </c>
      <c r="N35" s="7" t="s">
        <v>87</v>
      </c>
    </row>
    <row r="36" customFormat="false" ht="23.85" hidden="false" customHeight="false" outlineLevel="0" collapsed="false">
      <c r="A36" s="7" t="n">
        <v>12</v>
      </c>
      <c r="B36" s="8" t="n">
        <v>46386</v>
      </c>
      <c r="C36" s="7" t="s">
        <v>99</v>
      </c>
      <c r="D36" s="7" t="s">
        <v>221</v>
      </c>
      <c r="E36" s="7" t="s">
        <v>222</v>
      </c>
      <c r="F36" s="7" t="s">
        <v>223</v>
      </c>
      <c r="G36" s="7" t="n">
        <v>2</v>
      </c>
      <c r="H36" s="7" t="s">
        <v>228</v>
      </c>
      <c r="I36" s="7" t="s">
        <v>229</v>
      </c>
      <c r="J36" s="7" t="s">
        <v>230</v>
      </c>
      <c r="K36" s="7" t="s">
        <v>140</v>
      </c>
      <c r="L36" s="7" t="s">
        <v>231</v>
      </c>
      <c r="M36" s="10" t="s">
        <v>125</v>
      </c>
      <c r="N36" s="7" t="s">
        <v>87</v>
      </c>
    </row>
    <row r="37" customFormat="false" ht="23.85" hidden="false" customHeight="false" outlineLevel="0" collapsed="false">
      <c r="A37" s="7" t="n">
        <v>12</v>
      </c>
      <c r="B37" s="8" t="n">
        <v>46388</v>
      </c>
      <c r="C37" s="7" t="s">
        <v>99</v>
      </c>
      <c r="D37" s="7" t="s">
        <v>221</v>
      </c>
      <c r="E37" s="7" t="s">
        <v>222</v>
      </c>
      <c r="F37" s="7" t="s">
        <v>223</v>
      </c>
      <c r="G37" s="7" t="n">
        <v>3</v>
      </c>
      <c r="H37" s="7" t="s">
        <v>232</v>
      </c>
      <c r="I37" s="7" t="s">
        <v>233</v>
      </c>
      <c r="J37" s="7" t="s">
        <v>234</v>
      </c>
      <c r="K37" s="7" t="s">
        <v>115</v>
      </c>
      <c r="L37" s="7" t="s">
        <v>235</v>
      </c>
      <c r="M37" s="7" t="s">
        <v>98</v>
      </c>
      <c r="N37" s="7" t="s">
        <v>87</v>
      </c>
    </row>
    <row r="38" customFormat="false" ht="23.85" hidden="false" customHeight="false" outlineLevel="0" collapsed="false">
      <c r="A38" s="5" t="n">
        <v>13</v>
      </c>
      <c r="B38" s="6" t="n">
        <v>46391</v>
      </c>
      <c r="C38" s="5" t="s">
        <v>164</v>
      </c>
      <c r="D38" s="5" t="s">
        <v>236</v>
      </c>
      <c r="E38" s="5" t="s">
        <v>237</v>
      </c>
      <c r="F38" s="5" t="s">
        <v>238</v>
      </c>
      <c r="G38" s="5" t="n">
        <v>1</v>
      </c>
      <c r="H38" s="5" t="s">
        <v>239</v>
      </c>
      <c r="I38" s="5" t="s">
        <v>240</v>
      </c>
      <c r="J38" s="5" t="s">
        <v>241</v>
      </c>
      <c r="K38" s="5" t="s">
        <v>242</v>
      </c>
      <c r="L38" s="5" t="s">
        <v>133</v>
      </c>
      <c r="M38" s="5" t="s">
        <v>98</v>
      </c>
      <c r="N38" s="5" t="s">
        <v>87</v>
      </c>
    </row>
    <row r="39" customFormat="false" ht="23.85" hidden="false" customHeight="false" outlineLevel="0" collapsed="false">
      <c r="A39" s="5" t="n">
        <v>13</v>
      </c>
      <c r="B39" s="6" t="n">
        <v>46393</v>
      </c>
      <c r="C39" s="5" t="s">
        <v>164</v>
      </c>
      <c r="D39" s="5" t="s">
        <v>236</v>
      </c>
      <c r="E39" s="5" t="s">
        <v>237</v>
      </c>
      <c r="F39" s="5" t="s">
        <v>238</v>
      </c>
      <c r="G39" s="5" t="n">
        <v>2</v>
      </c>
      <c r="H39" s="5" t="s">
        <v>243</v>
      </c>
      <c r="I39" s="5" t="s">
        <v>244</v>
      </c>
      <c r="J39" s="5" t="s">
        <v>245</v>
      </c>
      <c r="K39" s="5" t="s">
        <v>115</v>
      </c>
      <c r="L39" s="5" t="s">
        <v>246</v>
      </c>
      <c r="M39" s="5" t="s">
        <v>48</v>
      </c>
      <c r="N39" s="5" t="s">
        <v>87</v>
      </c>
    </row>
    <row r="40" customFormat="false" ht="23.85" hidden="false" customHeight="false" outlineLevel="0" collapsed="false">
      <c r="A40" s="5" t="n">
        <v>13</v>
      </c>
      <c r="B40" s="6" t="n">
        <v>46395</v>
      </c>
      <c r="C40" s="5" t="s">
        <v>164</v>
      </c>
      <c r="D40" s="5" t="s">
        <v>236</v>
      </c>
      <c r="E40" s="5" t="s">
        <v>237</v>
      </c>
      <c r="F40" s="5" t="s">
        <v>238</v>
      </c>
      <c r="G40" s="5" t="n">
        <v>3</v>
      </c>
      <c r="H40" s="5" t="s">
        <v>247</v>
      </c>
      <c r="I40" s="5" t="s">
        <v>248</v>
      </c>
      <c r="J40" s="5" t="s">
        <v>249</v>
      </c>
      <c r="K40" s="5" t="s">
        <v>96</v>
      </c>
      <c r="L40" s="5" t="s">
        <v>133</v>
      </c>
      <c r="M40" s="5" t="s">
        <v>98</v>
      </c>
      <c r="N40" s="5" t="s">
        <v>87</v>
      </c>
    </row>
    <row r="41" customFormat="false" ht="35.05" hidden="false" customHeight="false" outlineLevel="0" collapsed="false">
      <c r="A41" s="7" t="n">
        <v>14</v>
      </c>
      <c r="B41" s="8" t="n">
        <v>46398</v>
      </c>
      <c r="C41" s="7" t="s">
        <v>60</v>
      </c>
      <c r="D41" s="7" t="s">
        <v>250</v>
      </c>
      <c r="E41" s="7" t="s">
        <v>251</v>
      </c>
      <c r="F41" s="7" t="s">
        <v>195</v>
      </c>
      <c r="G41" s="7" t="n">
        <v>1</v>
      </c>
      <c r="H41" s="7" t="s">
        <v>252</v>
      </c>
      <c r="I41" s="7" t="s">
        <v>253</v>
      </c>
      <c r="J41" s="7" t="s">
        <v>254</v>
      </c>
      <c r="K41" s="7" t="s">
        <v>140</v>
      </c>
      <c r="L41" s="7" t="s">
        <v>255</v>
      </c>
      <c r="M41" s="7" t="s">
        <v>48</v>
      </c>
      <c r="N41" s="7" t="s">
        <v>87</v>
      </c>
    </row>
    <row r="42" customFormat="false" ht="35.05" hidden="false" customHeight="false" outlineLevel="0" collapsed="false">
      <c r="A42" s="7" t="n">
        <v>14</v>
      </c>
      <c r="B42" s="8" t="n">
        <v>46400</v>
      </c>
      <c r="C42" s="7" t="s">
        <v>60</v>
      </c>
      <c r="D42" s="7" t="s">
        <v>250</v>
      </c>
      <c r="E42" s="7" t="s">
        <v>251</v>
      </c>
      <c r="F42" s="7" t="s">
        <v>195</v>
      </c>
      <c r="G42" s="7" t="n">
        <v>2</v>
      </c>
      <c r="H42" s="7" t="s">
        <v>256</v>
      </c>
      <c r="I42" s="7" t="s">
        <v>257</v>
      </c>
      <c r="J42" s="7" t="s">
        <v>258</v>
      </c>
      <c r="K42" s="7" t="s">
        <v>91</v>
      </c>
      <c r="L42" s="7" t="s">
        <v>255</v>
      </c>
      <c r="M42" s="7" t="s">
        <v>48</v>
      </c>
      <c r="N42" s="7" t="s">
        <v>87</v>
      </c>
    </row>
    <row r="43" customFormat="false" ht="35.05" hidden="false" customHeight="false" outlineLevel="0" collapsed="false">
      <c r="A43" s="7" t="n">
        <v>14</v>
      </c>
      <c r="B43" s="8" t="n">
        <v>46402</v>
      </c>
      <c r="C43" s="7" t="s">
        <v>60</v>
      </c>
      <c r="D43" s="7" t="s">
        <v>250</v>
      </c>
      <c r="E43" s="7" t="s">
        <v>251</v>
      </c>
      <c r="F43" s="7" t="s">
        <v>195</v>
      </c>
      <c r="G43" s="7" t="n">
        <v>3</v>
      </c>
      <c r="H43" s="7" t="s">
        <v>259</v>
      </c>
      <c r="I43" s="7" t="s">
        <v>260</v>
      </c>
      <c r="J43" s="7" t="s">
        <v>261</v>
      </c>
      <c r="K43" s="7" t="s">
        <v>140</v>
      </c>
      <c r="L43" s="7" t="s">
        <v>262</v>
      </c>
      <c r="M43" s="10" t="s">
        <v>125</v>
      </c>
      <c r="N43" s="7" t="s">
        <v>87</v>
      </c>
    </row>
  </sheetData>
  <autoFilter ref="A1:N43"/>
  <dataValidations count="1">
    <dataValidation allowBlank="true" errorStyle="stop" operator="between" showDropDown="false" showErrorMessage="false" showInputMessage="false" sqref="N2:N43" type="list">
      <formula1>"Ý tưởng,Đang viết bài,Đã viết kịch bản,Chờ giọng,Đã có video,Đã đăng,Đã có video,chờ giọng"</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2"/>
    <col collapsed="false" customWidth="true" hidden="false" outlineLevel="0" max="3" min="3" style="0" width="18"/>
    <col collapsed="false" customWidth="true" hidden="false" outlineLevel="0" max="4" min="4" style="0" width="44"/>
    <col collapsed="false" customWidth="true" hidden="false" outlineLevel="0" max="5" min="5" style="0" width="30"/>
    <col collapsed="false" customWidth="true" hidden="false" outlineLevel="0" max="6" min="6" style="0" width="16"/>
    <col collapsed="false" customWidth="true" hidden="false" outlineLevel="0" max="7" min="7" style="0" width="50"/>
    <col collapsed="false" customWidth="true" hidden="false" outlineLevel="0" max="8" min="8" style="0" width="9"/>
    <col collapsed="false" customWidth="true" hidden="false" outlineLevel="0" max="9" min="9" style="0" width="11"/>
  </cols>
  <sheetData>
    <row r="1" customFormat="false" ht="23.85" hidden="false" customHeight="false" outlineLevel="0" collapsed="false">
      <c r="A1" s="4" t="s">
        <v>26</v>
      </c>
      <c r="B1" s="4" t="s">
        <v>263</v>
      </c>
      <c r="C1" s="4" t="s">
        <v>28</v>
      </c>
      <c r="D1" s="4" t="s">
        <v>29</v>
      </c>
      <c r="E1" s="4" t="s">
        <v>30</v>
      </c>
      <c r="F1" s="4" t="s">
        <v>31</v>
      </c>
      <c r="G1" s="4" t="s">
        <v>264</v>
      </c>
      <c r="H1" s="4" t="s">
        <v>265</v>
      </c>
      <c r="I1" s="4" t="s">
        <v>24</v>
      </c>
    </row>
    <row r="2" customFormat="false" ht="23.85" hidden="false" customHeight="false" outlineLevel="0" collapsed="false">
      <c r="A2" s="11" t="n">
        <v>1</v>
      </c>
      <c r="B2" s="12" t="n">
        <v>46307</v>
      </c>
      <c r="C2" s="11" t="s">
        <v>39</v>
      </c>
      <c r="D2" s="11" t="s">
        <v>40</v>
      </c>
      <c r="E2" s="11" t="s">
        <v>41</v>
      </c>
      <c r="F2" s="11" t="s">
        <v>42</v>
      </c>
      <c r="G2" s="11" t="s">
        <v>266</v>
      </c>
      <c r="H2" s="11" t="n">
        <f aca="false">COUNTIF('Lịch đăng'!$A$2:$A$43,A2)</f>
        <v>3</v>
      </c>
      <c r="I2" s="11" t="n">
        <f aca="false">COUNTIFS('Lịch đăng'!$A$2:$A$43,A2,'Lịch đăng'!$N$2:$N$43,"Đã đăng")</f>
        <v>0</v>
      </c>
    </row>
    <row r="3" customFormat="false" ht="23.85" hidden="false" customHeight="false" outlineLevel="0" collapsed="false">
      <c r="A3" s="11" t="n">
        <v>2</v>
      </c>
      <c r="B3" s="12" t="n">
        <v>46314</v>
      </c>
      <c r="C3" s="11" t="s">
        <v>60</v>
      </c>
      <c r="D3" s="11" t="s">
        <v>61</v>
      </c>
      <c r="E3" s="11" t="s">
        <v>62</v>
      </c>
      <c r="F3" s="11" t="s">
        <v>63</v>
      </c>
      <c r="G3" s="11" t="s">
        <v>267</v>
      </c>
      <c r="H3" s="11" t="n">
        <f aca="false">COUNTIF('Lịch đăng'!$A$2:$A$43,A3)</f>
        <v>3</v>
      </c>
      <c r="I3" s="11" t="n">
        <f aca="false">COUNTIFS('Lịch đăng'!$A$2:$A$43,A3,'Lịch đăng'!$N$2:$N$43,"Đã đăng")</f>
        <v>0</v>
      </c>
    </row>
    <row r="4" customFormat="false" ht="23.85" hidden="false" customHeight="false" outlineLevel="0" collapsed="false">
      <c r="A4" s="11" t="n">
        <v>3</v>
      </c>
      <c r="B4" s="12" t="n">
        <v>46321</v>
      </c>
      <c r="C4" s="11" t="s">
        <v>79</v>
      </c>
      <c r="D4" s="11" t="s">
        <v>80</v>
      </c>
      <c r="E4" s="11" t="s">
        <v>81</v>
      </c>
      <c r="F4" s="11" t="s">
        <v>48</v>
      </c>
      <c r="G4" s="11" t="s">
        <v>268</v>
      </c>
      <c r="H4" s="11" t="n">
        <f aca="false">COUNTIF('Lịch đăng'!$A$2:$A$43,A4)</f>
        <v>3</v>
      </c>
      <c r="I4" s="11" t="n">
        <f aca="false">COUNTIFS('Lịch đăng'!$A$2:$A$43,A4,'Lịch đăng'!$N$2:$N$43,"Đã đăng")</f>
        <v>0</v>
      </c>
    </row>
    <row r="5" customFormat="false" ht="23.85" hidden="false" customHeight="false" outlineLevel="0" collapsed="false">
      <c r="A5" s="11" t="n">
        <v>4</v>
      </c>
      <c r="B5" s="12" t="n">
        <v>46328</v>
      </c>
      <c r="C5" s="11" t="s">
        <v>99</v>
      </c>
      <c r="D5" s="11" t="s">
        <v>100</v>
      </c>
      <c r="E5" s="11" t="s">
        <v>101</v>
      </c>
      <c r="F5" s="11" t="s">
        <v>102</v>
      </c>
      <c r="G5" s="11" t="s">
        <v>269</v>
      </c>
      <c r="H5" s="11" t="n">
        <f aca="false">COUNTIF('Lịch đăng'!$A$2:$A$43,A5)</f>
        <v>3</v>
      </c>
      <c r="I5" s="11" t="n">
        <f aca="false">COUNTIFS('Lịch đăng'!$A$2:$A$43,A5,'Lịch đăng'!$N$2:$N$43,"Đã đăng")</f>
        <v>0</v>
      </c>
    </row>
    <row r="6" customFormat="false" ht="23.85" hidden="false" customHeight="false" outlineLevel="0" collapsed="false">
      <c r="A6" s="11" t="n">
        <v>5</v>
      </c>
      <c r="B6" s="12" t="n">
        <v>46335</v>
      </c>
      <c r="C6" s="11" t="s">
        <v>117</v>
      </c>
      <c r="D6" s="11" t="s">
        <v>118</v>
      </c>
      <c r="E6" s="11" t="s">
        <v>119</v>
      </c>
      <c r="F6" s="11" t="s">
        <v>120</v>
      </c>
      <c r="G6" s="11" t="s">
        <v>270</v>
      </c>
      <c r="H6" s="11" t="n">
        <f aca="false">COUNTIF('Lịch đăng'!$A$2:$A$43,A6)</f>
        <v>3</v>
      </c>
      <c r="I6" s="11" t="n">
        <f aca="false">COUNTIFS('Lịch đăng'!$A$2:$A$43,A6,'Lịch đăng'!$N$2:$N$43,"Đã đăng")</f>
        <v>0</v>
      </c>
    </row>
    <row r="7" customFormat="false" ht="23.85" hidden="false" customHeight="false" outlineLevel="0" collapsed="false">
      <c r="A7" s="11" t="n">
        <v>6</v>
      </c>
      <c r="B7" s="12" t="n">
        <v>46342</v>
      </c>
      <c r="C7" s="11" t="s">
        <v>134</v>
      </c>
      <c r="D7" s="11" t="s">
        <v>135</v>
      </c>
      <c r="E7" s="11" t="s">
        <v>136</v>
      </c>
      <c r="F7" s="11" t="s">
        <v>42</v>
      </c>
      <c r="G7" s="11" t="s">
        <v>271</v>
      </c>
      <c r="H7" s="11" t="n">
        <f aca="false">COUNTIF('Lịch đăng'!$A$2:$A$43,A7)</f>
        <v>3</v>
      </c>
      <c r="I7" s="11" t="n">
        <f aca="false">COUNTIFS('Lịch đăng'!$A$2:$A$43,A7,'Lịch đăng'!$N$2:$N$43,"Đã đăng")</f>
        <v>0</v>
      </c>
    </row>
    <row r="8" customFormat="false" ht="35.05" hidden="false" customHeight="false" outlineLevel="0" collapsed="false">
      <c r="A8" s="11" t="n">
        <v>7</v>
      </c>
      <c r="B8" s="12" t="n">
        <v>46349</v>
      </c>
      <c r="C8" s="11" t="s">
        <v>79</v>
      </c>
      <c r="D8" s="11" t="s">
        <v>151</v>
      </c>
      <c r="E8" s="11" t="s">
        <v>152</v>
      </c>
      <c r="F8" s="11" t="s">
        <v>48</v>
      </c>
      <c r="G8" s="11" t="s">
        <v>272</v>
      </c>
      <c r="H8" s="11" t="n">
        <f aca="false">COUNTIF('Lịch đăng'!$A$2:$A$43,A8)</f>
        <v>3</v>
      </c>
      <c r="I8" s="11" t="n">
        <f aca="false">COUNTIFS('Lịch đăng'!$A$2:$A$43,A8,'Lịch đăng'!$N$2:$N$43,"Đã đăng")</f>
        <v>0</v>
      </c>
    </row>
    <row r="9" customFormat="false" ht="23.85" hidden="false" customHeight="false" outlineLevel="0" collapsed="false">
      <c r="A9" s="11" t="n">
        <v>8</v>
      </c>
      <c r="B9" s="12" t="n">
        <v>46356</v>
      </c>
      <c r="C9" s="11" t="s">
        <v>164</v>
      </c>
      <c r="D9" s="11" t="s">
        <v>165</v>
      </c>
      <c r="E9" s="11" t="s">
        <v>166</v>
      </c>
      <c r="F9" s="11" t="s">
        <v>120</v>
      </c>
      <c r="G9" s="11" t="s">
        <v>273</v>
      </c>
      <c r="H9" s="11" t="n">
        <f aca="false">COUNTIF('Lịch đăng'!$A$2:$A$43,A9)</f>
        <v>3</v>
      </c>
      <c r="I9" s="11" t="n">
        <f aca="false">COUNTIFS('Lịch đăng'!$A$2:$A$43,A9,'Lịch đăng'!$N$2:$N$43,"Đã đăng")</f>
        <v>0</v>
      </c>
    </row>
    <row r="10" customFormat="false" ht="23.85" hidden="false" customHeight="false" outlineLevel="0" collapsed="false">
      <c r="A10" s="11" t="n">
        <v>9</v>
      </c>
      <c r="B10" s="12" t="n">
        <v>46363</v>
      </c>
      <c r="C10" s="11" t="s">
        <v>60</v>
      </c>
      <c r="D10" s="11" t="s">
        <v>178</v>
      </c>
      <c r="E10" s="11" t="s">
        <v>179</v>
      </c>
      <c r="F10" s="11" t="s">
        <v>48</v>
      </c>
      <c r="G10" s="11" t="s">
        <v>274</v>
      </c>
      <c r="H10" s="11" t="n">
        <f aca="false">COUNTIF('Lịch đăng'!$A$2:$A$43,A10)</f>
        <v>3</v>
      </c>
      <c r="I10" s="11" t="n">
        <f aca="false">COUNTIFS('Lịch đăng'!$A$2:$A$43,A10,'Lịch đăng'!$N$2:$N$43,"Đã đăng")</f>
        <v>0</v>
      </c>
    </row>
    <row r="11" customFormat="false" ht="23.85" hidden="false" customHeight="false" outlineLevel="0" collapsed="false">
      <c r="A11" s="11" t="n">
        <v>10</v>
      </c>
      <c r="B11" s="12" t="n">
        <v>46370</v>
      </c>
      <c r="C11" s="11" t="s">
        <v>79</v>
      </c>
      <c r="D11" s="11" t="s">
        <v>193</v>
      </c>
      <c r="E11" s="11" t="s">
        <v>194</v>
      </c>
      <c r="F11" s="11" t="s">
        <v>195</v>
      </c>
      <c r="G11" s="11" t="s">
        <v>275</v>
      </c>
      <c r="H11" s="11" t="n">
        <f aca="false">COUNTIF('Lịch đăng'!$A$2:$A$43,A11)</f>
        <v>3</v>
      </c>
      <c r="I11" s="11" t="n">
        <f aca="false">COUNTIFS('Lịch đăng'!$A$2:$A$43,A11,'Lịch đăng'!$N$2:$N$43,"Đã đăng")</f>
        <v>0</v>
      </c>
    </row>
    <row r="12" customFormat="false" ht="23.85" hidden="false" customHeight="false" outlineLevel="0" collapsed="false">
      <c r="A12" s="11" t="n">
        <v>11</v>
      </c>
      <c r="B12" s="12" t="n">
        <v>46377</v>
      </c>
      <c r="C12" s="11" t="s">
        <v>117</v>
      </c>
      <c r="D12" s="11" t="s">
        <v>208</v>
      </c>
      <c r="E12" s="11" t="s">
        <v>209</v>
      </c>
      <c r="F12" s="11" t="s">
        <v>120</v>
      </c>
      <c r="G12" s="11" t="s">
        <v>276</v>
      </c>
      <c r="H12" s="11" t="n">
        <f aca="false">COUNTIF('Lịch đăng'!$A$2:$A$43,A12)</f>
        <v>3</v>
      </c>
      <c r="I12" s="11" t="n">
        <f aca="false">COUNTIFS('Lịch đăng'!$A$2:$A$43,A12,'Lịch đăng'!$N$2:$N$43,"Đã đăng")</f>
        <v>0</v>
      </c>
    </row>
    <row r="13" customFormat="false" ht="23.85" hidden="false" customHeight="false" outlineLevel="0" collapsed="false">
      <c r="A13" s="11" t="n">
        <v>12</v>
      </c>
      <c r="B13" s="12" t="n">
        <v>46384</v>
      </c>
      <c r="C13" s="11" t="s">
        <v>99</v>
      </c>
      <c r="D13" s="11" t="s">
        <v>221</v>
      </c>
      <c r="E13" s="11" t="s">
        <v>222</v>
      </c>
      <c r="F13" s="11" t="s">
        <v>223</v>
      </c>
      <c r="G13" s="11" t="s">
        <v>277</v>
      </c>
      <c r="H13" s="11" t="n">
        <f aca="false">COUNTIF('Lịch đăng'!$A$2:$A$43,A13)</f>
        <v>3</v>
      </c>
      <c r="I13" s="11" t="n">
        <f aca="false">COUNTIFS('Lịch đăng'!$A$2:$A$43,A13,'Lịch đăng'!$N$2:$N$43,"Đã đăng")</f>
        <v>0</v>
      </c>
    </row>
    <row r="14" customFormat="false" ht="23.85" hidden="false" customHeight="false" outlineLevel="0" collapsed="false">
      <c r="A14" s="11" t="n">
        <v>13</v>
      </c>
      <c r="B14" s="12" t="n">
        <v>46391</v>
      </c>
      <c r="C14" s="11" t="s">
        <v>164</v>
      </c>
      <c r="D14" s="11" t="s">
        <v>236</v>
      </c>
      <c r="E14" s="11" t="s">
        <v>237</v>
      </c>
      <c r="F14" s="11" t="s">
        <v>238</v>
      </c>
      <c r="G14" s="11" t="s">
        <v>278</v>
      </c>
      <c r="H14" s="11" t="n">
        <f aca="false">COUNTIF('Lịch đăng'!$A$2:$A$43,A14)</f>
        <v>3</v>
      </c>
      <c r="I14" s="11" t="n">
        <f aca="false">COUNTIFS('Lịch đăng'!$A$2:$A$43,A14,'Lịch đăng'!$N$2:$N$43,"Đã đăng")</f>
        <v>0</v>
      </c>
    </row>
    <row r="15" customFormat="false" ht="23.85" hidden="false" customHeight="false" outlineLevel="0" collapsed="false">
      <c r="A15" s="11" t="n">
        <v>14</v>
      </c>
      <c r="B15" s="12" t="n">
        <v>46398</v>
      </c>
      <c r="C15" s="11" t="s">
        <v>60</v>
      </c>
      <c r="D15" s="11" t="s">
        <v>250</v>
      </c>
      <c r="E15" s="11" t="s">
        <v>251</v>
      </c>
      <c r="F15" s="11" t="s">
        <v>195</v>
      </c>
      <c r="G15" s="11" t="s">
        <v>279</v>
      </c>
      <c r="H15" s="11" t="n">
        <f aca="false">COUNTIF('Lịch đăng'!$A$2:$A$43,A15)</f>
        <v>3</v>
      </c>
      <c r="I15" s="11" t="n">
        <f aca="false">COUNTIFS('Lịch đăng'!$A$2:$A$43,A15,'Lịch đăng'!$N$2:$N$43,"Đã đăng")</f>
        <v>0</v>
      </c>
    </row>
    <row r="16" customFormat="false" ht="15" hidden="false" customHeight="false" outlineLevel="0" collapsed="false">
      <c r="G16" s="13" t="s">
        <v>280</v>
      </c>
      <c r="H16" s="13" t="n">
        <f aca="false">SUM(H2:H15)</f>
        <v>42</v>
      </c>
      <c r="I16" s="13" t="n">
        <f aca="false">SUM(I2:I15)</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52"/>
    <col collapsed="false" customWidth="true" hidden="false" outlineLevel="0" max="3" min="3" style="0" width="34"/>
    <col collapsed="false" customWidth="true" hidden="false" outlineLevel="0" max="4" min="4" style="0" width="16"/>
    <col collapsed="false" customWidth="true" hidden="false" outlineLevel="0" max="5" min="5" style="0" width="52"/>
  </cols>
  <sheetData>
    <row r="1" customFormat="false" ht="15" hidden="false" customHeight="false" outlineLevel="0" collapsed="false">
      <c r="A1" s="14" t="s">
        <v>28</v>
      </c>
      <c r="B1" s="14" t="s">
        <v>281</v>
      </c>
      <c r="C1" s="14" t="s">
        <v>30</v>
      </c>
      <c r="D1" s="14" t="s">
        <v>31</v>
      </c>
      <c r="E1" s="14" t="s">
        <v>282</v>
      </c>
    </row>
    <row r="2" customFormat="false" ht="15" hidden="false" customHeight="false" outlineLevel="0" collapsed="false">
      <c r="A2" s="11" t="s">
        <v>283</v>
      </c>
      <c r="B2" s="11" t="s">
        <v>284</v>
      </c>
      <c r="C2" s="11" t="s">
        <v>285</v>
      </c>
      <c r="D2" s="11" t="s">
        <v>42</v>
      </c>
      <c r="E2" s="11" t="s">
        <v>286</v>
      </c>
    </row>
    <row r="3" customFormat="false" ht="23.85" hidden="false" customHeight="false" outlineLevel="0" collapsed="false">
      <c r="A3" s="11" t="s">
        <v>287</v>
      </c>
      <c r="B3" s="11" t="s">
        <v>288</v>
      </c>
      <c r="C3" s="11" t="s">
        <v>289</v>
      </c>
      <c r="D3" s="11" t="s">
        <v>120</v>
      </c>
      <c r="E3" s="11" t="s">
        <v>290</v>
      </c>
    </row>
    <row r="4" customFormat="false" ht="23.85" hidden="false" customHeight="false" outlineLevel="0" collapsed="false">
      <c r="A4" s="11" t="s">
        <v>291</v>
      </c>
      <c r="B4" s="11" t="s">
        <v>292</v>
      </c>
      <c r="C4" s="11" t="s">
        <v>293</v>
      </c>
      <c r="D4" s="11" t="s">
        <v>102</v>
      </c>
      <c r="E4" s="11" t="s">
        <v>294</v>
      </c>
    </row>
    <row r="5" customFormat="false" ht="23.85" hidden="false" customHeight="false" outlineLevel="0" collapsed="false">
      <c r="A5" s="11" t="s">
        <v>295</v>
      </c>
      <c r="B5" s="11" t="s">
        <v>296</v>
      </c>
      <c r="C5" s="11" t="s">
        <v>297</v>
      </c>
      <c r="D5" s="11" t="s">
        <v>48</v>
      </c>
      <c r="E5" s="11" t="s">
        <v>298</v>
      </c>
    </row>
    <row r="6" customFormat="false" ht="23.85" hidden="false" customHeight="false" outlineLevel="0" collapsed="false">
      <c r="A6" s="11" t="s">
        <v>299</v>
      </c>
      <c r="B6" s="11" t="s">
        <v>300</v>
      </c>
      <c r="C6" s="11" t="s">
        <v>301</v>
      </c>
      <c r="D6" s="11" t="s">
        <v>120</v>
      </c>
      <c r="E6" s="11" t="s">
        <v>302</v>
      </c>
    </row>
    <row r="7" customFormat="false" ht="23.85" hidden="false" customHeight="false" outlineLevel="0" collapsed="false">
      <c r="A7" s="11" t="s">
        <v>117</v>
      </c>
      <c r="B7" s="11" t="s">
        <v>303</v>
      </c>
      <c r="C7" s="11" t="s">
        <v>304</v>
      </c>
      <c r="D7" s="11" t="s">
        <v>63</v>
      </c>
      <c r="E7" s="11" t="s">
        <v>305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2026-10-07T11:04:22Z</dcterms:created>
  <dc:creator>openpyxl</dc:creator>
  <dc:description/>
  <dc:language>en-US</dc:language>
  <cp:lastModifiedBy/>
  <dcterms:modified xsi:type="dcterms:W3CDTF">2026-10-07T11:04:22Z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