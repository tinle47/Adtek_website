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 name="Dự phòng" sheetId="4" state="visible" r:id="rId6"/>
  </sheets>
  <definedNames>
    <definedName function="false" hidden="true" localSheetId="1" name="_xlnm._FilterDatabase" vbProcedure="false">'Lịch đăng'!$A$1:$O$48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<sst xmlns="http://schemas.openxmlformats.org/spreadsheetml/2006/main" count="680" uniqueCount="440">
  <si>
    <t xml:space="preserve">Lịch nội dung TikTok Adtek</t>
  </si>
  <si>
    <t xml:space="preserve">Cập nhật</t>
  </si>
  <si>
    <t xml:space="preserve">07/10/2026. 47 video: 3 video AIO đã đăng, 44 video còn lại đăng 4 video mỗi tuần (thứ Sáu, Chủ nhật, thứ Hai, thứ Tư) từ 09/10/2026 đến 23/12/2026. Kênh: @adtek.growth.mark.</t>
  </si>
  <si>
    <t xml:space="preserve">Nguyên tắc</t>
  </si>
  <si>
    <t xml:space="preserve">Video TikTok độc lập với blog: mỗi video một chủ đề, không dẫn về website. Mỗi số liệu lấy từ tổ chức phát hành gốc (Google, Meta, OpenAI, Pew, Gartner, McKinsey, Bain, AppsFlyer, Adjust, Sensor Tower, Metric, DataReportal, e-Conomy SEA, văn bản luật). Không dùng trang tổng hợp số liệu.</t>
  </si>
  <si>
    <t xml:space="preserve">Thứ tự đăng</t>
  </si>
  <si>
    <t xml:space="preserve">3 video khu công nghiệp FDI đã dựng đăng trước (09/10 đến 12/10). Sau đó mỗi tuần trộn các dịch vụ khác nhau. Video theo mùa: TikTok Shop đăng đúng 11/11; khách từ AI đăng 22/11 trước Black Friday (27/11); quảng cáo Shopee đăng 09/12 trước 12.12; Tết đăng 16/12 để kịp kế hoạch Tết 2027 (06/02/2027).</t>
  </si>
  <si>
    <t xml:space="preserve">Kiểm tra nguồn</t>
  </si>
  <si>
    <t xml:space="preserve">Mạng của môi trường làm việc chặn hầu hết trang gốc, nên các số liệu được đối chiếu qua đoạn trích của trang gốc và báo uy tín trích lại. Trước khi viết kịch bản từng video, phải mở link nguồn gốc kiểm tra lại con số, rồi chuyển trạng thái sang "Đã kiểm tra nguồn". Số nào không khớp thì bỏ.</t>
  </si>
  <si>
    <t xml:space="preserve">Lưu ý khi dùng</t>
  </si>
  <si>
    <t xml:space="preserve">Cột chữ cam: số liệu cũ (ghi rõ năm), số liệu nước ngoài, số doanh nghiệp tự công bố, mẫu khảo sát nhỏ hoặc nội dung pháp lý cần luật sư duyệt.</t>
  </si>
  <si>
    <t xml:space="preserve">Nhu cầu tìm kiếm</t>
  </si>
  <si>
    <t xml:space="preserve">Ước tính theo loại từ khóa và độ nóng chủ đề, chưa đo bằng công cụ. Kiểm tra trên TikTok Search và Google Keyword Planner nếu cần.</t>
  </si>
  <si>
    <t xml:space="preserve">Video đã dựng</t>
  </si>
  <si>
    <t xml:space="preserve">3 video AIO đã đăng. 3 video khu công nghiệp FDI chờ huấn luyện giọng Eleven v4; cảnh cuối đã đổi sang Follow Adtek, chỉ chờ tạo lại giọng.</t>
  </si>
  <si>
    <t xml:space="preserve">Cột cần cập nhật</t>
  </si>
  <si>
    <t xml:space="preserve">"Trạng thái" ở sheet Lịch đăng (chọn từ danh sách). Sheet Tổng quan tự đếm.</t>
  </si>
  <si>
    <t xml:space="preserve">STT</t>
  </si>
  <si>
    <t xml:space="preserve">Thứ</t>
  </si>
  <si>
    <t xml:space="preserve">Ngày đăng</t>
  </si>
  <si>
    <t xml:space="preserve">Dịch vụ</t>
  </si>
  <si>
    <t xml:space="preserve">Chủ đề video</t>
  </si>
  <si>
    <t xml:space="preserve">Câu mở đầu (hook)</t>
  </si>
  <si>
    <t xml:space="preserve">Số liệu chính</t>
  </si>
  <si>
    <t xml:space="preserve">Hình minh họa</t>
  </si>
  <si>
    <t xml:space="preserve">Nguồn gốc</t>
  </si>
  <si>
    <t xml:space="preserve">Link nguồn gốc</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</si>
  <si>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</si>
  <si>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</si>
  <si>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</si>
  <si>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</si>
  <si>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</si>
  <si>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</si>
  <si>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Khách hàng vẫn tìm trên Google, nhưng họ đang ngừng bấm vào bạn.</t>
  </si>
  <si>
    <t xml:space="preserve">Tỷ lệ bấm 15% xuống 8% khi có tóm tắt AI; link nằm trong tóm tắt chỉ ~1%; được AI trích dẫn thì nhiều hơn ~35% lượt nhấp</t>
  </si>
  <si>
    <t xml:space="preserve">Google trên điện thoại, biểu đồ cột</t>
  </si>
  <si>
    <t xml:space="preserve">Pew Research Center, 22/07/2025; Seer Interactive</t>
  </si>
  <si>
    <t xml:space="preserve">https://www.pewresearch.org/short-reads/2025/07/22/google-users-are-less-likely-to-click-on-links-when-an-ai-summary-appears-in-the-results/</t>
  </si>
  <si>
    <t xml:space="preserve">Đã dùng trong video, số liệu đã đối chiếu</t>
  </si>
  <si>
    <t xml:space="preserve">Đã đăng với giọng v4 cũ và cảnh cuối cũ</t>
  </si>
  <si>
    <t xml:space="preserve">ai overview là gì; aio là gì</t>
  </si>
  <si>
    <t xml:space="preserve">Đang tăng</t>
  </si>
  <si>
    <t xml:space="preserve">Được nhắc tên quan trọng hơn backlink</t>
  </si>
  <si>
    <t xml:space="preserve">Muốn được AI nhắc tên? Backlink không còn là thứ quan trọng nhất.</t>
  </si>
  <si>
    <t xml:space="preserve">Tương quan 0.664 (nhắc tên trên web) so với 0.218 (backlink), 75,000 thương hiệu; thêm số liệu và nguồn tăng hiển thị tới ~40%</t>
  </si>
  <si>
    <t xml:space="preserve">Thanh ngang, biểu đồ cột</t>
  </si>
  <si>
    <t xml:space="preserve">Ahrefs; Aggarwal và cộng sự, GEO, KDD 2024</t>
  </si>
  <si>
    <t xml:space="preserve">https://ahrefs.com/blog/</t>
  </si>
  <si>
    <t xml:space="preserve">Đã dùng trong video; chưa có link bài cụ thể</t>
  </si>
  <si>
    <t xml:space="preserve">geo là gì; seo ai</t>
  </si>
  <si>
    <t xml:space="preserve">Đừng tin ai hứa đưa bạn lên top ChatGPT</t>
  </si>
  <si>
    <t xml:space="preserve">Đừng tin bất kỳ ai hứa đưa bạn lên top ChatGPT.</t>
  </si>
  <si>
    <t xml:space="preserve">Dưới 1% khả năng ChatGPT trả về cùng danh sách thương hiệu khi hỏi lại (2,961 câu lệnh)</t>
  </si>
  <si>
    <t xml:space="preserve">Màn hình chatbot, ô vuông 100</t>
  </si>
  <si>
    <t xml:space="preserve">SparkToro và Gumshoe.ai</t>
  </si>
  <si>
    <t xml:space="preserve">https://sparktoro.com/blog/</t>
  </si>
  <si>
    <t xml:space="preserve">top chatgpt; seo chatgpt</t>
  </si>
  <si>
    <t xml:space="preserve">Thứ Sáu</t>
  </si>
  <si>
    <t xml:space="preserve">Digital Marketing</t>
  </si>
  <si>
    <t xml:space="preserve">Nhà đầu tư FDI lọc khu công nghiệp từ trên mạng</t>
  </si>
  <si>
    <t xml:space="preserve">Vốn FDI tăng 76%, nhưng nhà đầu tư sẽ không gọi cho bạn đầu tiên.</t>
  </si>
  <si>
    <t xml:space="preserve">FDI 9 tháng: 28.5 lên 50.4 tỷ USD; người mua B2B dành 27% thời gian tự nghiên cứu, 17% gặp nhà cung cấp</t>
  </si>
  <si>
    <t xml:space="preserve">Biểu đồ cột, thanh ngang</t>
  </si>
  <si>
    <t xml:space="preserve">Cục Thống kê, 10/2026; Gartner</t>
  </si>
  <si>
    <t xml:space="preserve">https://www.gso.gov.vn</t>
  </si>
  <si>
    <t xml:space="preserve">Đã đổi cảnh cuối sang Follow Adtek, chờ tạo lại giọng</t>
  </si>
  <si>
    <t xml:space="preserve">marketing khu công nghiệp; thu hút fdi</t>
  </si>
  <si>
    <t xml:space="preserve">Thấp, giá trị cao</t>
  </si>
  <si>
    <t xml:space="preserve">Đã có video, chờ giọng</t>
  </si>
  <si>
    <t xml:space="preserve">Chủ nhật</t>
  </si>
  <si>
    <t xml:space="preserve">Website khu công nghiệp song ngữ là chưa đủ</t>
  </si>
  <si>
    <t xml:space="preserve">Website song ngữ là chưa đủ.</t>
  </si>
  <si>
    <t xml:space="preserve">Singapore 35.1%, Hàn Quốc 26.1% vốn FDI đăng ký mới 8 tháng 2026</t>
  </si>
  <si>
    <t xml:space="preserve">Biểu đồ cột, danh sách</t>
  </si>
  <si>
    <t xml:space="preserve">Cổng Thông tin điện tử Chính phủ, 09/2026</t>
  </si>
  <si>
    <t xml:space="preserve">https://chinhphu.vn</t>
  </si>
  <si>
    <t xml:space="preserve">marketing fdi; website khu công nghiệp</t>
  </si>
  <si>
    <t xml:space="preserve">Thứ Hai</t>
  </si>
  <si>
    <t xml:space="preserve">Đừng quảng cáo khu công nghiệp bằng giá đất</t>
  </si>
  <si>
    <t xml:space="preserve">Quảng cáo khu công nghiệp bằng giá thuê đất rẻ?</t>
  </si>
  <si>
    <t xml:space="preserve">JETRO: 3 lợi thế hàng đầu không có giá đất; 67.5% doanh nghiệp Nhật lo thủ tục hành chính</t>
  </si>
  <si>
    <t xml:space="preserve">Thanh ngang, ô vuông 100</t>
  </si>
  <si>
    <t xml:space="preserve">JETRO, khảo sát FY2025, 906 doanh nghiệp Nhật tại Việt Nam</t>
  </si>
  <si>
    <t xml:space="preserve">https://www.jetro.go.jp</t>
  </si>
  <si>
    <t xml:space="preserve">đầu tư nhật bản việt nam; marketing b2b</t>
  </si>
  <si>
    <t xml:space="preserve">Thứ Tư</t>
  </si>
  <si>
    <t xml:space="preserve">Performance</t>
  </si>
  <si>
    <t xml:space="preserve">8/10 khách muốn nhắn tin trước khi mua</t>
  </si>
  <si>
    <t xml:space="preserve">Cứ 10 khách thì 8 người muốn nhắn tin trước khi mua. Shop của bạn có trả lời kịp không?</t>
  </si>
  <si>
    <t xml:space="preserve">82.8% người Việt chọn nhắn tin để liên lạc doanh nghiệp; 61.2% nhắn tin với doanh nghiệp mỗi ngày; 85% mua sắm dịp Tết, 44% tham gia 12.12</t>
  </si>
  <si>
    <t xml:space="preserve">Ô vuông 100</t>
  </si>
  <si>
    <t xml:space="preserve">Meta, nghiên cứu do Kantar và Ipsos thực hiện (khảo sát 11/2025)</t>
  </si>
  <si>
    <t xml:space="preserve">https://www.facebook.com/business/news</t>
  </si>
  <si>
    <t xml:space="preserve">Chưa có link bài cụ thể; Chưa mở được trang gốc (mạng chặn), đối chiếu qua Việt Nam News</t>
  </si>
  <si>
    <t xml:space="preserve">Chưa có URL trang gốc của Meta, cần tìm trước khi dựng</t>
  </si>
  <si>
    <t xml:space="preserve">quảng cáo tin nhắn facebook; mùa sale 11.11</t>
  </si>
  <si>
    <t xml:space="preserve">Cao</t>
  </si>
  <si>
    <t xml:space="preserve">Ý tưởng</t>
  </si>
  <si>
    <t xml:space="preserve">Google AI Mode tiếng Việt tròn 1 năm</t>
  </si>
  <si>
    <t xml:space="preserve">Đúng một năm trước, Google bật Chế độ AI bằng tiếng Việt. Giờ mỗi tháng hơn 1 tỷ người dùng nó.</t>
  </si>
  <si>
    <t xml:space="preserve">AI Mode vượt 1 tỷ người dùng hằng tháng; AI Overviews hơn 2.5 tỷ; AI Mode có tiếng Việt từ 07/10/2025</t>
  </si>
  <si>
    <t xml:space="preserve">Biểu đồ cột</t>
  </si>
  <si>
    <t xml:space="preserve">Google, I/O 2026 (Sundar Pichai), 05/2026; Google Search blog, 07/10/2025</t>
  </si>
  <si>
    <t xml:space="preserve">https://blog.google/products/search/ai-mode-expands-languages-locations/</t>
  </si>
  <si>
    <t xml:space="preserve">Chưa mở được trang gốc (mạng chặn), đối chiếu qua Engadget</t>
  </si>
  <si>
    <t xml:space="preserve">Số người dùng là toàn cầu</t>
  </si>
  <si>
    <t xml:space="preserve">chế độ ai google; ai mode</t>
  </si>
  <si>
    <t xml:space="preserve">Cao, đang tăng</t>
  </si>
  <si>
    <t xml:space="preserve">Growth Marketing</t>
  </si>
  <si>
    <t xml:space="preserve">7/10 người bỏ giỏ hàng không mua</t>
  </si>
  <si>
    <t xml:space="preserve">Cứ 10 người bỏ hàng vào giỏ thì 7 người bỏ đi không mua.</t>
  </si>
  <si>
    <t xml:space="preserve">Tỷ lệ bỏ giỏ trung bình 70.22% (50 nghiên cứu); lý do số 1 là phí phát sinh; tối ưu bước thanh toán tăng chuyển đổi tới 35.26%</t>
  </si>
  <si>
    <t xml:space="preserve">Baymard Institute, Cart Abandonment Rate Statistics, cập nhật 09/2025</t>
  </si>
  <si>
    <t xml:space="preserve">https://baymard.com/lists/cart-abandonment-rate</t>
  </si>
  <si>
    <t xml:space="preserve">Chưa mở được trang gốc (mạng chặn), đối chiếu qua eMarketer</t>
  </si>
  <si>
    <t xml:space="preserve">Tỷ lệ từng nguyên nhân khác nhau theo năm, dùng 70.22% làm số chính</t>
  </si>
  <si>
    <t xml:space="preserve">bỏ giỏ hàng; tăng tỷ lệ chuyển đổi</t>
  </si>
  <si>
    <t xml:space="preserve">App Marketing</t>
  </si>
  <si>
    <t xml:space="preserve">1/3 lượt cài app ở Việt Nam đến từ iPhone</t>
  </si>
  <si>
    <t xml:space="preserve">Năm 2017, cứ 10 lượt cài app ở Việt Nam chưa đến 3 lượt là iPhone. Giờ thì sao?</t>
  </si>
  <si>
    <t xml:space="preserve">Android 78% xuống 66%, iOS 22% lên 33% (2017 đến 2025); iOS chiếm 55% lượt cài app tài chính</t>
  </si>
  <si>
    <t xml:space="preserve">AppsFlyer, State of App Marketing in Vietnam 2025</t>
  </si>
  <si>
    <t xml:space="preserve">https://www.appsflyer.com/resources/reports/app-marketing-vietnam/</t>
  </si>
  <si>
    <t xml:space="preserve">Chưa mở được trang gốc (mạng chặn), đối chiếu qua Thị trường Tài chính Tiền tệ, Advertising Vietnam</t>
  </si>
  <si>
    <t xml:space="preserve">Dữ liệu Việt Nam</t>
  </si>
  <si>
    <t xml:space="preserve">iphone hay android; quảng cáo app</t>
  </si>
  <si>
    <t xml:space="preserve">Giá quảng cáo Meta tăng 12% so với năm ngoái</t>
  </si>
  <si>
    <t xml:space="preserve">Cùng một quảng cáo, năm nay bạn trả nhiều hơn năm ngoái 12%.</t>
  </si>
  <si>
    <t xml:space="preserve">Quý 2/2026: giá trung bình mỗi quảng cáo +12%, lượt hiển thị +14%, doanh thu Meta 60.8 tỷ USD (+28%)</t>
  </si>
  <si>
    <t xml:space="preserve">Meta, "Meta Reports Second Quarter 2026 Results", 29/07/2026</t>
  </si>
  <si>
    <t xml:space="preserve">https://investor.atmeta.com</t>
  </si>
  <si>
    <t xml:space="preserve">Link trang nhà đầu tư Meta; Chưa mở được trang gốc (mạng chặn), đối chiếu qua Nasdaq, SEC 10-Q</t>
  </si>
  <si>
    <t xml:space="preserve">Số toàn cầu. Hợp đăng đầu mùa sale cuối năm</t>
  </si>
  <si>
    <t xml:space="preserve">giá quảng cáo facebook 2026; cpm facebook</t>
  </si>
  <si>
    <t xml:space="preserve">SEO</t>
  </si>
  <si>
    <t xml:space="preserve">Đứng top 1 Google mất 58% lượt bấm khi có AI Overview</t>
  </si>
  <si>
    <t xml:space="preserve">Cứ 100 lượt bấm lẽ ra về website top 1, Google giờ giữ lại 58.</t>
  </si>
  <si>
    <t xml:space="preserve">CTR trang top 1 thấp hơn 58% khi có AI Overview (300,000 từ khóa, 12/2023 so với 12/2025); lần đo 04/2025 là 34.5%</t>
  </si>
  <si>
    <t xml:space="preserve">Ahrefs, "AI Overviews Reduce Clicks by 58%", 05/2026</t>
  </si>
  <si>
    <t xml:space="preserve">https://ahrefs.com/blog/ai-overviews-reduce-clicks-update/</t>
  </si>
  <si>
    <t xml:space="preserve">Chưa mở được trang gốc (mạng chặn), đối chiếu qua Business Wire</t>
  </si>
  <si>
    <t xml:space="preserve">seo 2026; ai overview giảm traffic</t>
  </si>
  <si>
    <t xml:space="preserve">70 triệu người Việt mở TikTok mỗi tháng</t>
  </si>
  <si>
    <t xml:space="preserve">Cứ 10 người Việt thì khoảng 7 người mở TikTok mỗi tháng.</t>
  </si>
  <si>
    <t xml:space="preserve">~70 triệu người dùng hằng tháng tại Việt Nam; hơn 460 triệu toàn Đông Nam Á</t>
  </si>
  <si>
    <t xml:space="preserve">Thanh ngang so sánh quốc gia</t>
  </si>
  <si>
    <t xml:space="preserve">TikTok Newsroom, 2025</t>
  </si>
  <si>
    <t xml:space="preserve">https://newsroom.tiktok.com/tiktok-surpasses-460-million-users-in-southeast-asia-inks-partnership-with-vietnams-ministry-of-culture-sports-and-tourism</t>
  </si>
  <si>
    <t xml:space="preserve">Chưa mở được trang gốc (mạng chặn), đối chiếu qua Tuổi Trẻ News, Việt Nam News</t>
  </si>
  <si>
    <t xml:space="preserve">Cần kiểm tra ngày công bố</t>
  </si>
  <si>
    <t xml:space="preserve">tiktok việt nam bao nhiêu người dùng; quảng cáo tiktok</t>
  </si>
  <si>
    <t xml:space="preserve">3% shop Mall ôm hơn 1/3 doanh thu sàn</t>
  </si>
  <si>
    <t xml:space="preserve">Chưa tới 3 trên 100 shop đang ôm hơn 1/3 doanh thu toàn sàn.</t>
  </si>
  <si>
    <t xml:space="preserve">Shop Mall chiếm 2.79% số shop nhưng 34.2% doanh thu Shopee, Lazada, TikTok Shop (6 tháng 2026); doanh số nhóm Mall +54%</t>
  </si>
  <si>
    <t xml:space="preserve">Metric.vn, Báo cáo TMĐT 6 tháng đầu 2026</t>
  </si>
  <si>
    <t xml:space="preserve">https://metric.vn</t>
  </si>
  <si>
    <t xml:space="preserve">Link trang chủ Metric; Chưa mở được trang gốc (mạng chặn), đối chiếu qua VnEconomy, Người Quan Sát</t>
  </si>
  <si>
    <t xml:space="preserve">shopee mall; mở gian hàng chính hãng</t>
  </si>
  <si>
    <t xml:space="preserve">3/4 khách bực khi bị gửi tin nhắn đại trà</t>
  </si>
  <si>
    <t xml:space="preserve">Cứ 4 khách thì 3 người thấy bực khi bạn gửi tin nhắn đại trà.</t>
  </si>
  <si>
    <t xml:space="preserve">71% kỳ vọng được cá nhân hóa; 76% bực khi không được; doanh nghiệp tăng trưởng nhanh có doanh thu từ cá nhân hóa cao hơn 40%</t>
  </si>
  <si>
    <t xml:space="preserve">McKinsey &amp; Company, Next in Personalization, 11/2021</t>
  </si>
  <si>
    <t xml:space="preserve">https://www.mckinsey.com/capabilities/growth-marketing-and-sales/our-insights/the-value-of-getting-personalization-right-or-wrong-is-multiplying</t>
  </si>
  <si>
    <t xml:space="preserve">Chưa mở được trang gốc (mạng chặn), đối chiếu qua đoạn trích mckinsey.com</t>
  </si>
  <si>
    <t xml:space="preserve">Dữ liệu 2021, ghi rõ năm</t>
  </si>
  <si>
    <t xml:space="preserve">cá nhân hóa khách hàng; personalization</t>
  </si>
  <si>
    <t xml:space="preserve">Trung bình, đang tăng</t>
  </si>
  <si>
    <t xml:space="preserve">Cứ 5 lượt cài từ quảng cáo có 1 lượt gian lận</t>
  </si>
  <si>
    <t xml:space="preserve">Bạn trả tiền cho 100 lượt cài app, khoảng 20 lượt có thể là giả.</t>
  </si>
  <si>
    <t xml:space="preserve">Tỷ lệ gian lận ở Việt Nam giảm từ 29% (Q1/2025) xuống 20% (Q1/2026); toàn cầu, 52% lượt cài gian lận giả dạng organic</t>
  </si>
  <si>
    <t xml:space="preserve">AppsFlyer, State of Fraud for Marketers 2026, 07/2026</t>
  </si>
  <si>
    <t xml:space="preserve">https://www.appsflyer.com/resources/reports/state-fraud-marketers/</t>
  </si>
  <si>
    <t xml:space="preserve">Chưa mở được trang gốc (mạng chặn), đối chiếu qua SecurityBrief, CMOtech Asia</t>
  </si>
  <si>
    <t xml:space="preserve">gian lận quảng cáo; cài đặt ảo</t>
  </si>
  <si>
    <t xml:space="preserve">Trung bình</t>
  </si>
  <si>
    <t xml:space="preserve">Sàn tăng doanh thu 44%, số món bán ra chỉ tăng 14%</t>
  </si>
  <si>
    <t xml:space="preserve">Doanh thu sàn tăng 44%, nhưng số món hàng bán ra chỉ tăng 14%. Tiền đang chạy về đâu?</t>
  </si>
  <si>
    <t xml:space="preserve">6 tháng 2026: 4 sàn đạt 291.6 nghìn tỷ đồng (+44.11%); 2,186.7 triệu sản phẩm (+13.67%); ~1,611 tỷ đồng mỗi ngày</t>
  </si>
  <si>
    <t xml:space="preserve">Metric.vn, Báo cáo TMĐT 6 tháng đầu 2026, 07/2026</t>
  </si>
  <si>
    <t xml:space="preserve">Link trang chủ Metric; Chưa mở được trang gốc (mạng chặn), đối chiếu qua VnEconomy, VTC News</t>
  </si>
  <si>
    <t xml:space="preserve">doanh số thương mại điện tử 2026; bán hàng trên sàn</t>
  </si>
  <si>
    <t xml:space="preserve">ChatGPT có 900 triệu người dùng mỗi tuần</t>
  </si>
  <si>
    <t xml:space="preserve">Mỗi tuần có 900 triệu người hỏi ChatGPT. Có thể họ đang hỏi về ngành của bạn.</t>
  </si>
  <si>
    <t xml:space="preserve">900 triệu người dùng hằng tuần (từ 800 triệu, 10/2025); hơn 50 triệu người trả phí</t>
  </si>
  <si>
    <t xml:space="preserve">OpenAI, "Scaling AI for everyone", 27/02/2026</t>
  </si>
  <si>
    <t xml:space="preserve">https://openai.com/index/scaling-ai-for-everyone/</t>
  </si>
  <si>
    <t xml:space="preserve">Chưa mở được trang gốc (mạng chặn), đối chiếu qua TechCrunch</t>
  </si>
  <si>
    <t xml:space="preserve">chatgpt; seo chatgpt</t>
  </si>
  <si>
    <t xml:space="preserve">Livestream bán hàng phải xác thực danh tính</t>
  </si>
  <si>
    <t xml:space="preserve">Mọi phiên livestream bán hàng của bạn giờ được lưu lại ít nhất 1 năm.</t>
  </si>
  <si>
    <t xml:space="preserve">Luật Thương mại điện tử 122/2025/QH15, hiệu lực 01/07/2026: người livestream và affiliate phải xác thực danh tính; nền tảng lưu buổi live tối thiểu 1 năm</t>
  </si>
  <si>
    <t xml:space="preserve">Danh sách</t>
  </si>
  <si>
    <t xml:space="preserve">Quốc hội, Luật Thương mại điện tử 122/2025/QH15</t>
  </si>
  <si>
    <t xml:space="preserve">https://thuvienphapluat.vn/van-ban/Thuong-mai/Luat-Thuong-mai-dien-tu-2025-so-122-2025-QH15-662035.aspx</t>
  </si>
  <si>
    <t xml:space="preserve">Chưa mở được trang gốc (mạng chặn), đối chiếu qua Tiền Phong</t>
  </si>
  <si>
    <t xml:space="preserve">Nội dung pháp lý, nên nhờ luật sư duyệt</t>
  </si>
  <si>
    <t xml:space="preserve">luật thương mại điện tử 2025; luật livestream</t>
  </si>
  <si>
    <t xml:space="preserve">88% khách muốn được chăm sóc đúng lúc, 44% doanh nghiệp làm được</t>
  </si>
  <si>
    <t xml:space="preserve">88% khách muốn mua hơn khi được chăm sóc đúng lúc, nhưng chưa tới một nửa doanh nghiệp làm được.</t>
  </si>
  <si>
    <t xml:space="preserve">88% người tiêu dùng có xu hướng mua hơn khi được cá nhân hóa theo thời gian thực; chỉ 44% thương hiệu làm được; khảo sát 7,600 người, 18 quốc gia</t>
  </si>
  <si>
    <t xml:space="preserve">Twilio, State of Customer Engagement Report 2025, 03/06/2025</t>
  </si>
  <si>
    <t xml:space="preserve">https://www.twilio.com/en-us/press/releases/socer-2025</t>
  </si>
  <si>
    <t xml:space="preserve">Chưa mở được trang gốc (mạng chặn), đối chiếu qua investors.twilio.com</t>
  </si>
  <si>
    <t xml:space="preserve">marketing automation; chăm sóc khách hàng tự động</t>
  </si>
  <si>
    <t xml:space="preserve">Lượt cài app ở Việt Nam đã chạm đỉnh</t>
  </si>
  <si>
    <t xml:space="preserve">2.17 tỷ lượt cài app trong một năm, và năm 2025 lần đầu đi xuống.</t>
  </si>
  <si>
    <t xml:space="preserve">2.17 tỷ lượt cài năm 2024, giảm ~2% năm 2025; tăng hơn 136% từ 2018</t>
  </si>
  <si>
    <t xml:space="preserve">AppsFlyer, State of App Marketing in Vietnam 2025, 10/2025</t>
  </si>
  <si>
    <t xml:space="preserve">Chưa mở được trang gốc (mạng chặn), đối chiếu qua Thị trường Tài chính Tiền tệ, Lao Động</t>
  </si>
  <si>
    <t xml:space="preserve">thị trường app việt nam; app marketing</t>
  </si>
  <si>
    <t xml:space="preserve">SEO, AIO</t>
  </si>
  <si>
    <t xml:space="preserve">Không lọt top 10 vẫn được AI Overview trích dẫn</t>
  </si>
  <si>
    <t xml:space="preserve">Năm ngoái 3/4 nguồn AI Overview nằm trong top 10. Giờ chưa tới 2/5.</t>
  </si>
  <si>
    <t xml:space="preserve">37.9% URL được trích nằm trong top 10, giảm từ 76.1% (07/2025); 31% nằm ngoài top 100</t>
  </si>
  <si>
    <t xml:space="preserve">Ahrefs, "38% of AI Overview Citations Pull From The Top 10", 02/03/2026</t>
  </si>
  <si>
    <t xml:space="preserve">https://ahrefs.com/blog/ai-overview-citations-top-10/</t>
  </si>
  <si>
    <t xml:space="preserve">Chưa mở được trang gốc (mạng chặn), đối chiếu qua đoạn trích ahrefs.com</t>
  </si>
  <si>
    <t xml:space="preserve">Ahrefs lưu ý một phần chênh lệch do công cụ đo tốt hơn, nên nói rõ</t>
  </si>
  <si>
    <t xml:space="preserve">ai overview trích dẫn; geo</t>
  </si>
  <si>
    <t xml:space="preserve">TikTok Shop giành 41% thị phần trong năm 2025</t>
  </si>
  <si>
    <t xml:space="preserve">Chỉ trong 1 năm, TikTok Shop giành thêm 12 điểm thị phần.</t>
  </si>
  <si>
    <t xml:space="preserve">2025: TikTok Shop 41.31% (2024: 29%), Shopee 56.04% (2024: 64%); 4 sàn đạt 429.7 nghìn tỷ đồng (+34.75%); số shop có đơn giảm 7.43%</t>
  </si>
  <si>
    <t xml:space="preserve">Biểu đồ cột trước và sau</t>
  </si>
  <si>
    <t xml:space="preserve">Metric.vn, Báo cáo thị trường TMĐT Việt Nam 2025</t>
  </si>
  <si>
    <t xml:space="preserve">Link trang chủ Metric; Chưa mở được trang gốc (mạng chặn), đối chiếu qua Đại biểu Nhân dân, Báo Pháp luật</t>
  </si>
  <si>
    <t xml:space="preserve">Đăng đúng ngày 11.11</t>
  </si>
  <si>
    <t xml:space="preserve">tiktok shop; shopee hay tiktok shop</t>
  </si>
  <si>
    <t xml:space="preserve">75 tỷ USD quảng cáo mỗi năm đang để AI của Meta tự chạy</t>
  </si>
  <si>
    <t xml:space="preserve">Mỗi năm, 75 tỷ USD tiền quảng cáo đang để AI của Meta tự chạy.</t>
  </si>
  <si>
    <t xml:space="preserve">Advantage+ vượt 75 tỷ USD doanh thu quy năm (quý 2/2026), từ 60 tỷ USD (quý 3/2025)</t>
  </si>
  <si>
    <t xml:space="preserve">Meta, kết quả kinh doanh Q2 2026, 29/07/2026</t>
  </si>
  <si>
    <t xml:space="preserve">Link trang nhà đầu tư Meta; Chưa mở được trang gốc (mạng chặn), đối chiếu qua MarketBeat, MediaPost</t>
  </si>
  <si>
    <t xml:space="preserve">Số toàn cầu, Meta tự công bố</t>
  </si>
  <si>
    <t xml:space="preserve">advantage+; quảng cáo facebook ai</t>
  </si>
  <si>
    <t xml:space="preserve">Người mua livestream tin tài khoản chính hãng hơn KOL</t>
  </si>
  <si>
    <t xml:space="preserve">Người mua qua livestream chi 67% tiền mua online ngay trên livestream, nhưng không mua nhiều nhất từ KOL.</t>
  </si>
  <si>
    <t xml:space="preserve">Live commerce chiếm ~67% chi tiêu online của người mua livestream; ~50% thích mua từ tài khoản chính hãng, gần gấp đôi qua KOL; chỉ 13% mua bốc đồng</t>
  </si>
  <si>
    <t xml:space="preserve">Thanh ngang</t>
  </si>
  <si>
    <t xml:space="preserve">Q&amp;Me, Xu hướng Live Commerce và hành vi người mua Việt Nam, 04/2026</t>
  </si>
  <si>
    <t xml:space="preserve">https://qandme.net/vi/baibaocao/xu-huong-live-commerce-va-hanh-vi-nguoi-mua-viet-nam.html</t>
  </si>
  <si>
    <t xml:space="preserve">Chưa mở được trang gốc (mạng chặn), đối chiếu qua VnEconomy</t>
  </si>
  <si>
    <t xml:space="preserve">Mẫu 245 người ở TP.HCM và Hà Nội, video phải nói rõ</t>
  </si>
  <si>
    <t xml:space="preserve">livestream bán hàng; bán hàng livestream tiktok</t>
  </si>
  <si>
    <t xml:space="preserve">Người Việt dành 127 tỷ giờ trong app</t>
  </si>
  <si>
    <t xml:space="preserve">127 tỷ giờ: thời gian người Việt ở trong các ứng dụng năm 2025.</t>
  </si>
  <si>
    <t xml:space="preserve">Việt Nam thứ 11 thế giới về lượt tải; 127 tỷ giờ dùng app; Q1/2026 app giải trí +76% phiên dùng</t>
  </si>
  <si>
    <t xml:space="preserve">Adjust, Mobile App Trends Spotlight: Vietnam 2026, 06/2026</t>
  </si>
  <si>
    <t xml:space="preserve">https://www.adjust.com/blog/vietnam-app-trends-2026/</t>
  </si>
  <si>
    <t xml:space="preserve">Không đặt chung số 2.88 tỷ lượt tải của Adjust với số 2.17 tỷ của AppsFlyer</t>
  </si>
  <si>
    <t xml:space="preserve">thời gian dùng điện thoại; người việt dùng app</t>
  </si>
  <si>
    <t xml:space="preserve">650,000 nhà bán qua video, tăng 60% trong 1 năm</t>
  </si>
  <si>
    <t xml:space="preserve">Cứ 10 nhà bán qua video năm ngoái thì năm nay đã thành 16.</t>
  </si>
  <si>
    <t xml:space="preserve">Việt Nam có 650,000 nhà bán thương mại video (+60%); thương mại video chiếm ~25% GMV TMĐT Đông Nam Á</t>
  </si>
  <si>
    <t xml:space="preserve">Google, Temasek, Bain &amp; Company, e-Conomy SEA 2025, 11/2025</t>
  </si>
  <si>
    <t xml:space="preserve">https://economysea.withgoogle.com/</t>
  </si>
  <si>
    <t xml:space="preserve">Chưa mở được trang gốc (mạng chặn), đối chiếu qua VnEconomy, Vietstock</t>
  </si>
  <si>
    <t xml:space="preserve">livestream bán hàng; video commerce</t>
  </si>
  <si>
    <t xml:space="preserve">KOL quảng cáo sản phẩm chưa dùng: phạt tới 100 triệu</t>
  </si>
  <si>
    <t xml:space="preserve">Chưa dùng mà đã khen? Câu review đó có thể tốn 100 triệu đồng.</t>
  </si>
  <si>
    <t xml:space="preserve">Nghị định 87/2026/NĐ-CP, hiệu lực 15/05/2026: chưa dùng sản phẩm mà giới thiệu phạt 80-100 triệu đồng; không thông báo việc quảng cáo 60-80 triệu đồng</t>
  </si>
  <si>
    <t xml:space="preserve">Danh sách mức phạt</t>
  </si>
  <si>
    <t xml:space="preserve">Chính phủ, Nghị định 87/2026/NĐ-CP; Luật Quảng cáo sửa đổi 75/2025/QH15</t>
  </si>
  <si>
    <t xml:space="preserve">https://vbpl.vn</t>
  </si>
  <si>
    <t xml:space="preserve">Chưa có link văn bản cụ thể; Chưa mở được trang gốc (mạng chặn), đối chiếu qua Tạp chí Luật sư Việt Nam</t>
  </si>
  <si>
    <t xml:space="preserve">Cần kiểm tra mức phạt áp cho cá nhân hay tổ chức</t>
  </si>
  <si>
    <t xml:space="preserve">kol bị phạt; luật quảng cáo kol</t>
  </si>
  <si>
    <t xml:space="preserve">AIO, Performance</t>
  </si>
  <si>
    <t xml:space="preserve">Khách đến từ AI chuyển đổi cao hơn 42%</t>
  </si>
  <si>
    <t xml:space="preserve">Một năm trước khách từ AI mua kém hơn. Giờ họ chuyển đổi cao hơn 42%.</t>
  </si>
  <si>
    <t xml:space="preserve">Traffic từ AI vào web bán lẻ quý 1/2026 tăng 393%; chuyển đổi cao hơn 42% (03/2026), từ mức thấp hơn 38% (03/2025)</t>
  </si>
  <si>
    <t xml:space="preserve">Adobe Digital Insights, Quarterly AI Traffic Report, 04/2026</t>
  </si>
  <si>
    <t xml:space="preserve">https://business.adobe.com/blog/ai-traffic-surge-retail-sites-not-machine-readable</t>
  </si>
  <si>
    <t xml:space="preserve">Chưa mở được trang gốc (mạng chặn), đối chiếu qua Decrypt</t>
  </si>
  <si>
    <t xml:space="preserve">Dữ liệu Mỹ. Nên đăng trước Black Friday 27/11</t>
  </si>
  <si>
    <t xml:space="preserve">traffic từ chatgpt; bán hàng bằng ai</t>
  </si>
  <si>
    <t xml:space="preserve">Gartner từng nói SEO giảm 25% vào 2026. Thực tế thì sao?</t>
  </si>
  <si>
    <t xml:space="preserve">Năm 2024 Gartner nói đến 2026 lượng tìm kiếm sẽ giảm 25%. Giờ đã là 2026.</t>
  </si>
  <si>
    <t xml:space="preserve">Dự đoán giảm 25% (02/2024); khảo sát 2026: chỉ ~1/3 người dùng thấy chatbot ngang công cụ tìm kiếm; hơn 2/3 vẫn đọc tiếp sau AI Overview</t>
  </si>
  <si>
    <t xml:space="preserve">Danh sách đối chiếu</t>
  </si>
  <si>
    <t xml:space="preserve">Gartner, 19/02/2024 và 20/01/2026</t>
  </si>
  <si>
    <t xml:space="preserve">https://www.gartner.com/en/newsroom/press-releases/2024-02-19-gartner-predicts-search-engine-volume-will-drop-25-percent-by-2026-due-to-ai-chatbots-and-other-virtual-agents</t>
  </si>
  <si>
    <t xml:space="preserve">Chưa mở được trang gốc (mạng chặn), đối chiếu qua Demand Gen Report</t>
  </si>
  <si>
    <t xml:space="preserve">Khảo sát 377 người Mỹ, mẫu nhỏ</t>
  </si>
  <si>
    <t xml:space="preserve">seo có còn hiệu quả; seo chết chưa</t>
  </si>
  <si>
    <t xml:space="preserve">App tài chính Việt Nam cắt 48% ngân sách tìm khách mới</t>
  </si>
  <si>
    <t xml:space="preserve">Các app ngân hàng, ví điện tử vừa cắt 48% ngân sách tìm khách mới. Họ làm gì với số tiền đó?</t>
  </si>
  <si>
    <t xml:space="preserve">2025: app tài chính Việt Nam giảm 22% lượt cài, chi phí kéo người dùng giảm 48%; remarketing Đông Nam Á +193%</t>
  </si>
  <si>
    <t xml:space="preserve">AppsFlyer, State of Finance for Marketers APAC 2026, 16/04/2026</t>
  </si>
  <si>
    <t xml:space="preserve">https://www.appsflyer.com/resources/reports/apac-finance-marketing/</t>
  </si>
  <si>
    <t xml:space="preserve">Chưa mở được trang gốc (mạng chặn), đối chiếu qua Thị trường Tài chính Tiền tệ</t>
  </si>
  <si>
    <t xml:space="preserve">marketing ngân hàng số; remarketing</t>
  </si>
  <si>
    <t xml:space="preserve">Khách trả phí làm thành viên lại chi nhiều hơn</t>
  </si>
  <si>
    <t xml:space="preserve">Khách trả tiền để làm thành viên lại chịu chi nhiều gấp đôi khách tích điểm miễn phí.</t>
  </si>
  <si>
    <t xml:space="preserve">Thành viên loyalty trả phí có khả năng chi nhiều hơn 60%, chương trình miễn phí chỉ 30%</t>
  </si>
  <si>
    <t xml:space="preserve">McKinsey &amp; Company, paid loyalty programs, 2020</t>
  </si>
  <si>
    <t xml:space="preserve">https://www.mckinsey.com/capabilities/growth-marketing-and-sales/our-insights/coping-with-the-big-switch-how-paid-loyalty-programs-can-help-bring-consumers-back-to-your-brand</t>
  </si>
  <si>
    <t xml:space="preserve">Dữ liệu 2020, thị trường Mỹ</t>
  </si>
  <si>
    <t xml:space="preserve">khách hàng thân thiết; membership</t>
  </si>
  <si>
    <t xml:space="preserve">72% khách tin doanh nghiệp ít hơn năm ngoái</t>
  </si>
  <si>
    <t xml:space="preserve">72% khách hàng đang tin doanh nghiệp ít hơn năm ngoái, và dữ liệu là lý do.</t>
  </si>
  <si>
    <t xml:space="preserve">72% tin công ty ít hơn 1 năm trước; 65% thấy doanh nghiệp bất cẩn với dữ liệu; gần 75% muốn biết đang nói chuyện với AI hay người</t>
  </si>
  <si>
    <t xml:space="preserve">Salesforce, State of the AI Connected Customer (bản 7), 2024</t>
  </si>
  <si>
    <t xml:space="preserve">https://www.salesforce.com/resources/research-reports/state-of-the-connected-customer/</t>
  </si>
  <si>
    <t xml:space="preserve">Chưa mở được trang gốc (mạng chặn), đối chiếu qua salesforce.com/news</t>
  </si>
  <si>
    <t xml:space="preserve">Khảo sát 2024. Hợp đăng cạnh video luật dữ liệu</t>
  </si>
  <si>
    <t xml:space="preserve">dữ liệu khách hàng; first-party data</t>
  </si>
  <si>
    <t xml:space="preserve">Luật Bảo vệ dữ liệu cá nhân: phạt tới 5% doanh thu</t>
  </si>
  <si>
    <t xml:space="preserve">Mua một tệp data khách hàng để chạy quảng cáo, doanh nghiệp có thể bị phạt gấp 10 lần số tiền kiếm được.</t>
  </si>
  <si>
    <t xml:space="preserve">Luật 91/2025/QH15, hiệu lực 01/01/2026: mua bán dữ liệu phạt tới 10 lần khoản thu; chuyển dữ liệu ra nước ngoài trái quy định tới 5% doanh thu; vi phạm khác tới 3 tỷ đồng</t>
  </si>
  <si>
    <t xml:space="preserve">Quốc hội, Luật Bảo vệ dữ liệu cá nhân 91/2025/QH15; Nghị định 356/2025/NĐ-CP</t>
  </si>
  <si>
    <t xml:space="preserve">https://thuvienphapluat.vn/van-ban/Bo-may-hanh-chinh/Luat-Bao-ve-du-lieu-ca-nhan-2025-so-91-2025-QH15-625628.aspx</t>
  </si>
  <si>
    <t xml:space="preserve">Chưa mở được trang gốc (mạng chặn), đối chiếu qua VnEconomy, Báo Đầu tư, PwC Việt Nam</t>
  </si>
  <si>
    <t xml:space="preserve">Nội dung pháp lý, nên nhờ luật sư duyệt kịch bản</t>
  </si>
  <si>
    <t xml:space="preserve">luật bảo vệ dữ liệu cá nhân; nghị định 356</t>
  </si>
  <si>
    <t xml:space="preserve">25 tỷ lượt tìm kiếm mỗi tháng không cần gõ chữ</t>
  </si>
  <si>
    <t xml:space="preserve">Mỗi tháng có 25 tỷ lượt tìm kiếm không cần gõ một chữ nào.</t>
  </si>
  <si>
    <t xml:space="preserve">Google Lens hơn 25 tỷ lượt tìm mỗi tháng (2024: ~20 tỷ, 1/4 có ý định mua hàng)</t>
  </si>
  <si>
    <t xml:space="preserve">Google Việt Nam Blog, 03/2026; Google, 10/2024</t>
  </si>
  <si>
    <t xml:space="preserve">https://vietnamese.googleblog.com/2026/03/ai-ang-thay-oi-cach-nguoi-tieu-dung-tim.html</t>
  </si>
  <si>
    <t xml:space="preserve">Chưa mở được trang gốc (mạng chặn), đối chiếu qua Advertising Vietnam</t>
  </si>
  <si>
    <t xml:space="preserve">google lens; tìm kiếm bằng hình ảnh</t>
  </si>
  <si>
    <t xml:space="preserve">App Việt chi 397 triệu USD để kéo người dùng</t>
  </si>
  <si>
    <t xml:space="preserve">397 triệu USD: số tiền app Việt chi để người dùng cài app trong 2 năm.</t>
  </si>
  <si>
    <t xml:space="preserve">397 triệu USD chi phí kéo người dùng (Q3/2023 đến Q2/2025); 59% studio game Việt dựa vào quảng cáo trong app</t>
  </si>
  <si>
    <t xml:space="preserve">https://www.appsflyer.com/resources/reports/app-marketing-vietnam-report/</t>
  </si>
  <si>
    <t xml:space="preserve">Chưa mở được trang gốc, chỉ có đoạn trích của appsflyer.com</t>
  </si>
  <si>
    <t xml:space="preserve">Là tổng 2 năm, không phải 1 năm</t>
  </si>
  <si>
    <t xml:space="preserve">chi phí quảng cáo app; user acquisition</t>
  </si>
  <si>
    <t xml:space="preserve">Giữ thêm 5% khách cũ, lợi nhuận tăng tới 95%</t>
  </si>
  <si>
    <t xml:space="preserve">Chỉ cần giữ thêm 5% khách cũ, lợi nhuận có thể tăng tới 95%.</t>
  </si>
  <si>
    <t xml:space="preserve">Tăng 5% tỷ lệ giữ chân, lợi nhuận tăng 25% đến 95%; ngân hàng +85%, môi giới bảo hiểm +50%, dịch vụ ô tô +30%</t>
  </si>
  <si>
    <t xml:space="preserve">Thanh ngang theo ngành</t>
  </si>
  <si>
    <t xml:space="preserve">Reichheld và Sasser (Bain &amp; Company), Harvard Business Review, 1990</t>
  </si>
  <si>
    <t xml:space="preserve">https://hbr.org/1990/09/zero-defections-quality-comes-to-services</t>
  </si>
  <si>
    <t xml:space="preserve">Chưa mở được trang gốc (mạng chặn), đối chiếu qua Oxford University Press</t>
  </si>
  <si>
    <t xml:space="preserve">Nghiên cứu kinh điển 1990, phải ghi rõ năm</t>
  </si>
  <si>
    <t xml:space="preserve">giữ chân khách hàng; customer retention</t>
  </si>
  <si>
    <t xml:space="preserve">Zalo: 81 triệu người dùng mà marketer hay bỏ quên</t>
  </si>
  <si>
    <t xml:space="preserve">Không phải Facebook hay TikTok, ứng dụng hơn 80 triệu người Việt mở mỗi tháng là Zalo.</t>
  </si>
  <si>
    <t xml:space="preserve">81.3 triệu người dùng hằng tháng (quý 2/2026); hơn 2.2 tỷ tin nhắn mỗi ngày; ~30,000 Official Account (+24%)</t>
  </si>
  <si>
    <t xml:space="preserve">VNG, kết quả kinh doanh quý 2/2026</t>
  </si>
  <si>
    <t xml:space="preserve">https://vng.com.vn</t>
  </si>
  <si>
    <t xml:space="preserve">Chưa có link bài cụ thể; Chưa mở được trang gốc (mạng chặn), đối chiếu qua VietnamPlus</t>
  </si>
  <si>
    <t xml:space="preserve">Doanh nghiệp tự công bố</t>
  </si>
  <si>
    <t xml:space="preserve">zalo oa; quảng cáo zalo</t>
  </si>
  <si>
    <t xml:space="preserve">Doanh thu quảng cáo Shopee tăng hơn 70%</t>
  </si>
  <si>
    <t xml:space="preserve">Shopee kiếm từ quảng cáo nhiều hơn năm ngoái 70%. Tiền đó đến từ túi người bán.</t>
  </si>
  <si>
    <t xml:space="preserve">Quý 2/2026: doanh thu quảng cáo Shopee +70%, tỷ lệ thu phí quảng cáo +0.9 điểm %, GMV +28%</t>
  </si>
  <si>
    <t xml:space="preserve">Sea Limited, kết quả Q2 2026, 08/2026</t>
  </si>
  <si>
    <t xml:space="preserve">https://www.businesswire.com/news/home/20260810021050/en/Sea-Limited-Reports-Second-Quarter-2026-Results</t>
  </si>
  <si>
    <t xml:space="preserve">Chưa mở được trang gốc (mạng chặn), đối chiếu qua Investing.com, The Edge (Bloomberg)</t>
  </si>
  <si>
    <t xml:space="preserve">Số toàn khu vực. Đăng trước 12.12</t>
  </si>
  <si>
    <t xml:space="preserve">quảng cáo shopee; phí sàn shopee 2026</t>
  </si>
  <si>
    <t xml:space="preserve">81% người Việt dùng AI mỗi ngày</t>
  </si>
  <si>
    <t xml:space="preserve">Cứ 10 người Việt dùng internet thì 8 người nói chuyện với AI mỗi ngày.</t>
  </si>
  <si>
    <t xml:space="preserve">81% tương tác với AI hằng ngày, cao nhất Đông Nam Á (Indonesia 80%, Thái Lan 74%); 96% sẵn sàng chia sẻ dữ liệu với AI agent</t>
  </si>
  <si>
    <t xml:space="preserve">Chưa mở được trang gốc (mạng chặn), đối chiếu qua Việt Nam News, VnEconomy</t>
  </si>
  <si>
    <t xml:space="preserve">người việt dùng ai; ai việt nam</t>
  </si>
  <si>
    <t xml:space="preserve">Lần đầu người dùng chi cho app nhiều hơn cho game</t>
  </si>
  <si>
    <t xml:space="preserve">Lần đầu tiên, người dùng chi tiền cho app nhiều hơn cho game.</t>
  </si>
  <si>
    <t xml:space="preserve">5.3 nghìn tỷ giờ trong app năm 2025 (~3.6 giờ/ngày); chi tiêu in-app 167 tỷ USD (+10%); app không phải game lần đầu vượt game</t>
  </si>
  <si>
    <t xml:space="preserve">Sensor Tower, State of Mobile 2026, 21/01/2026</t>
  </si>
  <si>
    <t xml:space="preserve">https://sensortower.com/blog/state-of-mobile-2026</t>
  </si>
  <si>
    <t xml:space="preserve">Chưa mở được trang gốc (mạng chặn), đối chiếu qua PR Newswire, 9to5Mac</t>
  </si>
  <si>
    <t xml:space="preserve">Số toàn cầu</t>
  </si>
  <si>
    <t xml:space="preserve">app ai; thời gian dùng điện thoại mỗi ngày</t>
  </si>
  <si>
    <t xml:space="preserve">Google AI Max: bật một nút, thêm 14% chuyển đổi?</t>
  </si>
  <si>
    <t xml:space="preserve">Google nói chỉ cần bật một nút là có thêm 14% đơn. Thật hay không?</t>
  </si>
  <si>
    <t xml:space="preserve">Thêm 14% chuyển đổi với CPA/ROAS tương đương; 27% với chiến dịch chủ yếu đối sánh chính xác</t>
  </si>
  <si>
    <t xml:space="preserve">Google Ads &amp; Commerce Blog, AI Max for Search, 05/2025</t>
  </si>
  <si>
    <t xml:space="preserve">https://blog.google/products/ads-commerce/</t>
  </si>
  <si>
    <t xml:space="preserve">Chưa có link bài cụ thể; Chưa mở được trang gốc (mạng chặn), đối chiếu qua MediaPost, Campaign Asia</t>
  </si>
  <si>
    <t xml:space="preserve">Số liệu Google tự công bố, video nên nói rõ cần tự thử nghiệm</t>
  </si>
  <si>
    <t xml:space="preserve">google ads ai max; performance max</t>
  </si>
  <si>
    <t xml:space="preserve">Tết vừa rồi TikTok Shop lần đầu bán nhiều hơn Shopee</t>
  </si>
  <si>
    <t xml:space="preserve">Tết vừa rồi, lần đầu tiên TikTok Shop bán nhiều hơn Shopee.</t>
  </si>
  <si>
    <t xml:space="preserve">6 tuần trước Tết 2026: tổng 67.7 nghìn tỷ đồng; TikTok Shop ~34.6 nghìn tỷ, Shopee ~33.1 nghìn tỷ</t>
  </si>
  <si>
    <t xml:space="preserve">Metric.vn, báo cáo mùa Tết Bính Ngọ 2026</t>
  </si>
  <si>
    <t xml:space="preserve">Link trang chủ Metric; Chưa mở được trang gốc (mạng chặn), đối chiếu qua Báo Pháp luật, Saigon Times</t>
  </si>
  <si>
    <t xml:space="preserve">Cần kiểm tra khung thời gian chính xác của báo cáo. Đăng giữa tháng 12 để kịp kế hoạch Tết 2027</t>
  </si>
  <si>
    <t xml:space="preserve">quảng cáo tết; bán hàng tết</t>
  </si>
  <si>
    <t xml:space="preserve">Cao (theo mùa)</t>
  </si>
  <si>
    <t xml:space="preserve">Một thử nghiệm A/B mang về 100 triệu USD mỗi năm</t>
  </si>
  <si>
    <t xml:space="preserve">Một thay đổi nhỏ bị bỏ xó 6 tháng, sau đó mang về hơn 100 triệu USD mỗi năm.</t>
  </si>
  <si>
    <t xml:space="preserve">Bing đổi tiêu đề quảng cáo: doanh thu +12%, hơn 100 triệu USD/năm; chỉ 10-20% thử nghiệm ở Google, Bing cho kết quả tích cực</t>
  </si>
  <si>
    <t xml:space="preserve">Kohavi và Thomke, Harvard Business Review, 09/2017</t>
  </si>
  <si>
    <t xml:space="preserve">https://hbr.org/2017/09/the-surprising-power-of-online-experiments</t>
  </si>
  <si>
    <t xml:space="preserve">Chưa mở được trang gốc (mạng chặn), đối chiếu qua sách của Kohavi (Cambridge University Press)</t>
  </si>
  <si>
    <t xml:space="preserve">Case năm 2012</t>
  </si>
  <si>
    <t xml:space="preserve">a/b testing; thử nghiệm marketing</t>
  </si>
  <si>
    <t xml:space="preserve">Thấp, hợp định vị Growth</t>
  </si>
  <si>
    <t xml:space="preserve">Kinh tế số Việt Nam 39 tỷ USD, 2/3 là mua sắm online</t>
  </si>
  <si>
    <t xml:space="preserve">39 tỷ USD: quy mô kinh tế số Việt Nam năm 2025, và 2/3 là mua sắm online.</t>
  </si>
  <si>
    <t xml:space="preserve">GMV kinh tế số 39 tỷ USD (+17%), tăng nhanh thứ 2 Đông Nam Á; thương mại điện tử 25 tỷ USD</t>
  </si>
  <si>
    <t xml:space="preserve">Chưa mở được trang gốc (mạng chặn), đối chiếu qua Bộ Công Thương (vntr.moit.gov.vn)</t>
  </si>
  <si>
    <t xml:space="preserve">kinh tế số việt nam; e-conomy sea</t>
  </si>
  <si>
    <t xml:space="preserve">Internet Việt Nam chạm trần: 85.6 triệu người dùng</t>
  </si>
  <si>
    <t xml:space="preserve">Cả năm qua, Việt Nam chỉ có thêm khoảng 500 nghìn người dùng internet mới.</t>
  </si>
  <si>
    <t xml:space="preserve">85.6 triệu người dùng internet (84.2% dân số), chỉ +508 nghìn (+0.6%); 79 triệu tài khoản mạng xã hội; 137 triệu kết nối di động</t>
  </si>
  <si>
    <t xml:space="preserve">DataReportal (Kepios, We Are Social, Meltwater), Digital 2026: Vietnam</t>
  </si>
  <si>
    <t xml:space="preserve">https://datareportal.com/reports/digital-2026-vietnam</t>
  </si>
  <si>
    <t xml:space="preserve">Chưa mở được trang gốc, có đoạn trích của datareportal.com</t>
  </si>
  <si>
    <t xml:space="preserve">Digital 2027 ra khoảng tháng 2, cập nhật nếu đã có</t>
  </si>
  <si>
    <t xml:space="preserve">digital 2026 việt nam; số người dùng internet việt nam</t>
  </si>
  <si>
    <t xml:space="preserve">Chi phí mỗi lượt cài game tăng 30%</t>
  </si>
  <si>
    <t xml:space="preserve">Cùng một số tiền quảng cáo, năm nay bạn mua được ít người chơi hơn hẳn.</t>
  </si>
  <si>
    <t xml:space="preserve">CPI game toàn cầu tăng 30% năm 2025, lên 0.56 USD; tỷ lệ paid/organic tăng 61%</t>
  </si>
  <si>
    <t xml:space="preserve">Adjust, Gaming App Insights Report 2026, 10/03/2026</t>
  </si>
  <si>
    <t xml:space="preserve">https://www.adjust.com/resources/ebooks/mobile-app-trends-2026/</t>
  </si>
  <si>
    <t xml:space="preserve">Số +61% có trong thông cáo Business Wire; số 0.56 USD và +30% cần đối chiếu file PDF</t>
  </si>
  <si>
    <t xml:space="preserve">Phải mở PDF gốc trước khi dựng</t>
  </si>
  <si>
    <t xml:space="preserve">cpi là gì; chi phí quảng cáo game</t>
  </si>
  <si>
    <t xml:space="preserve">Số video</t>
  </si>
  <si>
    <t xml:space="preserve">Còn lại</t>
  </si>
  <si>
    <t xml:space="preserve">Tổng video</t>
  </si>
  <si>
    <t xml:space="preserve">Một video có thể thuộc 2 dịch vụ (ví dụ "SEO, AIO") nên tổng theo dịch vụ lớn hơn tổng video.</t>
  </si>
  <si>
    <t xml:space="preserve">Ý tưởng và số liệu</t>
  </si>
  <si>
    <t xml:space="preserve">Link</t>
  </si>
  <si>
    <t xml:space="preserve">Khách từ AI search có giá trị gấp 4.4 lần khách organic</t>
  </si>
  <si>
    <t xml:space="preserve">Semrush, AI search SEO traffic study, 09/06/2025</t>
  </si>
  <si>
    <t xml:space="preserve">https://www.semrush.com/blog/ai-search-seo-traffic-study/</t>
  </si>
  <si>
    <t xml:space="preserve">80% người dùng dựa vào AI cho ít nhất 40% lượt tìm; traffic tự nhiên giảm 15-25%</t>
  </si>
  <si>
    <t xml:space="preserve">Bain &amp; Company, Goodbye Clicks, Hello AI, 19/02/2025</t>
  </si>
  <si>
    <t xml:space="preserve">https://www.bain.com/insights/goodbye-clicks-hello-ai-zero-click-search-redefines-marketing/</t>
  </si>
  <si>
    <t xml:space="preserve">49% người Mỹ dùng chatbot AI, từ 33% năm 2024</t>
  </si>
  <si>
    <t xml:space="preserve">Pew Research Center, Americans and AI 2026, 17/06/2026</t>
  </si>
  <si>
    <t xml:space="preserve">https://www.pewresearch.org/internet/2026/06/17/americans-and-ai-2026/</t>
  </si>
  <si>
    <t xml:space="preserve">Retail media toàn cầu đạt 200.4 tỷ USD năm 2026</t>
  </si>
  <si>
    <t xml:space="preserve">WARC, Global Ad Forecast, 08/2026</t>
  </si>
  <si>
    <t xml:space="preserve">https://www.warc.com</t>
  </si>
  <si>
    <t xml:space="preserve">Gần 65% lượt tải app diễn ra ngay sau một lần tìm kiếm trên App Store</t>
  </si>
  <si>
    <t xml:space="preserve">Apple Ads</t>
  </si>
  <si>
    <t xml:space="preserve">https://searchads.apple.com</t>
  </si>
  <si>
    <t xml:space="preserve">App Store chặn hơn 2.2 tỷ USD giao dịch gian lận năm 2025</t>
  </si>
  <si>
    <t xml:space="preserve">Apple Newsroom, 20/05/2026</t>
  </si>
  <si>
    <t xml:space="preserve">https://www.apple.com/newsroom/2026/05/the-app-store-stopped-over-2-point-2-billion-usd-in-fraudulent-transactions-in-2025/</t>
  </si>
  <si>
    <t xml:space="preserve">Growth</t>
  </si>
  <si>
    <t xml:space="preserve">Mùa lễ 2025: traffic từ AI vào web bán lẻ +693%, chuyển đổi cao hơn 31%</t>
  </si>
  <si>
    <t xml:space="preserve">Adobe, Holiday Shopping Season, 01/2026</t>
  </si>
  <si>
    <t xml:space="preserve">https://news.adobe.com/news/2026/01/adobe-holiday-shopping-season</t>
  </si>
</sst>
</file>

<file path=xl/styles.xml><?xml version="1.0" encoding="utf-8"?>
<styleSheet xmlns="http://schemas.openxmlformats.org/spreadsheetml/2006/main">
  <numFmts count="2">
    <numFmt numFmtId="164" formatCode="General"/>
    <numFmt numFmtId="165" formatCode="dd/mm/yyyy"/>
  </numFmts>
  <fonts count="12">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u val="single"/>
      <sz val="10"/>
      <color rgb="FF1F4FB4"/>
      <name val="Arial"/>
      <family val="0"/>
      <charset val="1"/>
    </font>
    <font>
      <sz val="10"/>
      <color rgb="FFB54708"/>
      <name val="Arial"/>
      <family val="0"/>
      <charset val="1"/>
    </font>
    <font>
      <b val="true"/>
      <sz val="10"/>
      <name val="Arial"/>
      <family val="0"/>
      <charset val="1"/>
    </font>
    <font>
      <i val="true"/>
      <sz val="9"/>
      <name val="Arial"/>
      <family val="0"/>
      <charset val="1"/>
    </font>
  </fonts>
  <fills count="5">
    <fill>
      <patternFill patternType="none"/>
    </fill>
    <fill>
      <patternFill patternType="gray125"/>
    </fill>
    <fill>
      <patternFill patternType="solid">
        <fgColor rgb="FF002D72"/>
        <bgColor rgb="FF000080"/>
      </patternFill>
    </fill>
    <fill>
      <patternFill patternType="solid">
        <fgColor rgb="FFFFFFFF"/>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FFF"/>
          <bgColor rgb="FF000000"/>
        </patternFill>
      </fill>
    </dxf>
    <dxf>
      <fill>
        <patternFill patternType="solid">
          <bgColor rgb="FF000000"/>
        </patternFill>
      </fill>
    </dxf>
    <dxf>
      <fill>
        <patternFill patternType="solid">
          <fgColor rgb="FF1F4FB4"/>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6FB"/>
      <rgbColor rgb="FFCCFFFF"/>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1F4FB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pewresearch.org/short-reads/2025/07/22/google-users-are-less-likely-to-click-on-links-when-an-ai-summary-appears-in-the-results/" TargetMode="External"/><Relationship Id="rId2" Type="http://schemas.openxmlformats.org/officeDocument/2006/relationships/hyperlink" Target="https://ahrefs.com/blog/" TargetMode="External"/><Relationship Id="rId3" Type="http://schemas.openxmlformats.org/officeDocument/2006/relationships/hyperlink" Target="https://sparktoro.com/blog/" TargetMode="External"/><Relationship Id="rId4" Type="http://schemas.openxmlformats.org/officeDocument/2006/relationships/hyperlink" Target="https://www.gso.gov.vn/" TargetMode="External"/><Relationship Id="rId5" Type="http://schemas.openxmlformats.org/officeDocument/2006/relationships/hyperlink" Target="https://chinhphu.vn/" TargetMode="External"/><Relationship Id="rId6" Type="http://schemas.openxmlformats.org/officeDocument/2006/relationships/hyperlink" Target="https://www.jetro.go.jp/" TargetMode="External"/><Relationship Id="rId7" Type="http://schemas.openxmlformats.org/officeDocument/2006/relationships/hyperlink" Target="https://www.facebook.com/business/news" TargetMode="External"/><Relationship Id="rId8" Type="http://schemas.openxmlformats.org/officeDocument/2006/relationships/hyperlink" Target="https://blog.google/products/search/ai-mode-expands-languages-locations/" TargetMode="External"/><Relationship Id="rId9" Type="http://schemas.openxmlformats.org/officeDocument/2006/relationships/hyperlink" Target="https://baymard.com/lists/cart-abandonment-rate" TargetMode="External"/><Relationship Id="rId10" Type="http://schemas.openxmlformats.org/officeDocument/2006/relationships/hyperlink" Target="https://www.appsflyer.com/resources/reports/app-marketing-vietnam/" TargetMode="External"/><Relationship Id="rId11" Type="http://schemas.openxmlformats.org/officeDocument/2006/relationships/hyperlink" Target="https://investor.atmeta.com/" TargetMode="External"/><Relationship Id="rId12" Type="http://schemas.openxmlformats.org/officeDocument/2006/relationships/hyperlink" Target="https://ahrefs.com/blog/ai-overviews-reduce-clicks-update/" TargetMode="External"/><Relationship Id="rId13" Type="http://schemas.openxmlformats.org/officeDocument/2006/relationships/hyperlink" Target="https://newsroom.tiktok.com/tiktok-surpasses-460-million-users-in-southeast-asia-inks-partnership-with-vietnams-ministry-of-culture-sports-and-tourism" TargetMode="External"/><Relationship Id="rId14" Type="http://schemas.openxmlformats.org/officeDocument/2006/relationships/hyperlink" Target="https://metric.vn/" TargetMode="External"/><Relationship Id="rId15" Type="http://schemas.openxmlformats.org/officeDocument/2006/relationships/hyperlink" Target="https://www.mckinsey.com/capabilities/growth-marketing-and-sales/our-insights/the-value-of-getting-personalization-right-or-wrong-is-multiplying" TargetMode="External"/><Relationship Id="rId16" Type="http://schemas.openxmlformats.org/officeDocument/2006/relationships/hyperlink" Target="https://www.appsflyer.com/resources/reports/state-fraud-marketers/" TargetMode="External"/><Relationship Id="rId17" Type="http://schemas.openxmlformats.org/officeDocument/2006/relationships/hyperlink" Target="https://metric.vn/" TargetMode="External"/><Relationship Id="rId18" Type="http://schemas.openxmlformats.org/officeDocument/2006/relationships/hyperlink" Target="https://openai.com/index/scaling-ai-for-everyone/" TargetMode="External"/><Relationship Id="rId19" Type="http://schemas.openxmlformats.org/officeDocument/2006/relationships/hyperlink" Target="https://thuvienphapluat.vn/van-ban/Thuong-mai/Luat-Thuong-mai-dien-tu-2025-so-122-2025-QH15-662035.aspx" TargetMode="External"/><Relationship Id="rId20" Type="http://schemas.openxmlformats.org/officeDocument/2006/relationships/hyperlink" Target="https://www.twilio.com/en-us/press/releases/socer-2025" TargetMode="External"/><Relationship Id="rId21" Type="http://schemas.openxmlformats.org/officeDocument/2006/relationships/hyperlink" Target="https://www.appsflyer.com/resources/reports/app-marketing-vietnam/" TargetMode="External"/><Relationship Id="rId22" Type="http://schemas.openxmlformats.org/officeDocument/2006/relationships/hyperlink" Target="https://ahrefs.com/blog/ai-overview-citations-top-10/" TargetMode="External"/><Relationship Id="rId23" Type="http://schemas.openxmlformats.org/officeDocument/2006/relationships/hyperlink" Target="https://metric.vn/" TargetMode="External"/><Relationship Id="rId24" Type="http://schemas.openxmlformats.org/officeDocument/2006/relationships/hyperlink" Target="https://investor.atmeta.com/" TargetMode="External"/><Relationship Id="rId25" Type="http://schemas.openxmlformats.org/officeDocument/2006/relationships/hyperlink" Target="https://qandme.net/vi/baibaocao/xu-huong-live-commerce-va-hanh-vi-nguoi-mua-viet-nam.html" TargetMode="External"/><Relationship Id="rId26" Type="http://schemas.openxmlformats.org/officeDocument/2006/relationships/hyperlink" Target="https://www.adjust.com/blog/vietnam-app-trends-2026/" TargetMode="External"/><Relationship Id="rId27" Type="http://schemas.openxmlformats.org/officeDocument/2006/relationships/hyperlink" Target="https://economysea.withgoogle.com/" TargetMode="External"/><Relationship Id="rId28" Type="http://schemas.openxmlformats.org/officeDocument/2006/relationships/hyperlink" Target="https://vbpl.vn/" TargetMode="External"/><Relationship Id="rId29" Type="http://schemas.openxmlformats.org/officeDocument/2006/relationships/hyperlink" Target="https://business.adobe.com/blog/ai-traffic-surge-retail-sites-not-machine-readable" TargetMode="External"/><Relationship Id="rId30" Type="http://schemas.openxmlformats.org/officeDocument/2006/relationships/hyperlink" Target="https://www.gartner.com/en/newsroom/press-releases/2024-02-19-gartner-predicts-search-engine-volume-will-drop-25-percent-by-2026-due-to-ai-chatbots-and-other-virtual-agents" TargetMode="External"/><Relationship Id="rId31" Type="http://schemas.openxmlformats.org/officeDocument/2006/relationships/hyperlink" Target="https://www.appsflyer.com/resources/reports/apac-finance-marketing/" TargetMode="External"/><Relationship Id="rId32" Type="http://schemas.openxmlformats.org/officeDocument/2006/relationships/hyperlink" Target="https://www.mckinsey.com/capabilities/growth-marketing-and-sales/our-insights/coping-with-the-big-switch-how-paid-loyalty-programs-can-help-bring-consumers-back-to-your-brand" TargetMode="External"/><Relationship Id="rId33" Type="http://schemas.openxmlformats.org/officeDocument/2006/relationships/hyperlink" Target="https://www.salesforce.com/resources/research-reports/state-of-the-connected-customer/" TargetMode="External"/><Relationship Id="rId34" Type="http://schemas.openxmlformats.org/officeDocument/2006/relationships/hyperlink" Target="https://thuvienphapluat.vn/van-ban/Bo-may-hanh-chinh/Luat-Bao-ve-du-lieu-ca-nhan-2025-so-91-2025-QH15-625628.aspx" TargetMode="External"/><Relationship Id="rId35" Type="http://schemas.openxmlformats.org/officeDocument/2006/relationships/hyperlink" Target="https://vietnamese.googleblog.com/2026/03/ai-ang-thay-oi-cach-nguoi-tieu-dung-tim.html" TargetMode="External"/><Relationship Id="rId36" Type="http://schemas.openxmlformats.org/officeDocument/2006/relationships/hyperlink" Target="https://www.appsflyer.com/resources/reports/app-marketing-vietnam-report/" TargetMode="External"/><Relationship Id="rId37" Type="http://schemas.openxmlformats.org/officeDocument/2006/relationships/hyperlink" Target="https://hbr.org/1990/09/zero-defections-quality-comes-to-services" TargetMode="External"/><Relationship Id="rId38" Type="http://schemas.openxmlformats.org/officeDocument/2006/relationships/hyperlink" Target="https://vng.com.vn/" TargetMode="External"/><Relationship Id="rId39" Type="http://schemas.openxmlformats.org/officeDocument/2006/relationships/hyperlink" Target="https://www.businesswire.com/news/home/20260810021050/en/Sea-Limited-Reports-Second-Quarter-2026-Results" TargetMode="External"/><Relationship Id="rId40" Type="http://schemas.openxmlformats.org/officeDocument/2006/relationships/hyperlink" Target="https://economysea.withgoogle.com/" TargetMode="External"/><Relationship Id="rId41" Type="http://schemas.openxmlformats.org/officeDocument/2006/relationships/hyperlink" Target="https://sensortower.com/blog/state-of-mobile-2026" TargetMode="External"/><Relationship Id="rId42" Type="http://schemas.openxmlformats.org/officeDocument/2006/relationships/hyperlink" Target="https://blog.google/products/ads-commerce/" TargetMode="External"/><Relationship Id="rId43" Type="http://schemas.openxmlformats.org/officeDocument/2006/relationships/hyperlink" Target="https://metric.vn/" TargetMode="External"/><Relationship Id="rId44" Type="http://schemas.openxmlformats.org/officeDocument/2006/relationships/hyperlink" Target="https://hbr.org/2017/09/the-surprising-power-of-online-experiments" TargetMode="External"/><Relationship Id="rId45" Type="http://schemas.openxmlformats.org/officeDocument/2006/relationships/hyperlink" Target="https://economysea.withgoogle.com/" TargetMode="External"/><Relationship Id="rId46" Type="http://schemas.openxmlformats.org/officeDocument/2006/relationships/hyperlink" Target="https://datareportal.com/reports/digital-2026-vietnam" TargetMode="External"/><Relationship Id="rId47" Type="http://schemas.openxmlformats.org/officeDocument/2006/relationships/hyperlink" Target="https://www.adjust.com/resources/ebooks/mobile-app-trends-2026/" TargetMode="External"/><Relationship Id="rId48"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5"/>
  </cols>
  <sheetData>
    <row r="1" customFormat="false" ht="17.35" hidden="false" customHeight="false" outlineLevel="0" collapsed="false">
      <c r="A1" s="1" t="s">
        <v>0</v>
      </c>
      <c r="B1" s="2"/>
    </row>
    <row r="2" customFormat="false" ht="23.85" hidden="false" customHeight="false" outlineLevel="0" collapsed="false">
      <c r="A2" s="3" t="s">
        <v>1</v>
      </c>
      <c r="B2" s="2" t="s">
        <v>2</v>
      </c>
    </row>
    <row r="3" customFormat="false" ht="35.05" hidden="false" customHeight="false" outlineLevel="0" collapsed="false">
      <c r="A3" s="3" t="s">
        <v>3</v>
      </c>
      <c r="B3" s="2" t="s">
        <v>4</v>
      </c>
    </row>
    <row r="4" customFormat="false" ht="35.05" hidden="false" customHeight="false" outlineLevel="0" collapsed="false">
      <c r="A4" s="3" t="s">
        <v>5</v>
      </c>
      <c r="B4" s="2" t="s">
        <v>6</v>
      </c>
    </row>
    <row r="5" customFormat="false" ht="35.05" hidden="false" customHeight="false" outlineLevel="0" collapsed="false">
      <c r="A5" s="3" t="s">
        <v>7</v>
      </c>
      <c r="B5" s="2" t="s">
        <v>8</v>
      </c>
    </row>
    <row r="6" customFormat="false" ht="23.85" hidden="false" customHeight="false" outlineLevel="0" collapsed="false">
      <c r="A6" s="3" t="s">
        <v>9</v>
      </c>
      <c r="B6" s="2" t="s">
        <v>10</v>
      </c>
    </row>
    <row r="7" customFormat="false" ht="23.85" hidden="false" customHeight="false" outlineLevel="0" collapsed="false">
      <c r="A7" s="3" t="s">
        <v>11</v>
      </c>
      <c r="B7" s="2" t="s">
        <v>12</v>
      </c>
    </row>
    <row r="8" customFormat="false" ht="23.85" hidden="false" customHeight="false" outlineLevel="0" collapsed="false">
      <c r="A8" s="3" t="s">
        <v>13</v>
      </c>
      <c r="B8" s="2" t="s">
        <v>14</v>
      </c>
    </row>
    <row r="9" customFormat="false" ht="15" hidden="false" customHeight="false" outlineLevel="0" collapsed="false">
      <c r="A9" s="3" t="s">
        <v>15</v>
      </c>
      <c r="B9"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1"/>
    <col collapsed="false" customWidth="true" hidden="false" outlineLevel="0" max="4" min="4" style="0" width="15"/>
    <col collapsed="false" customWidth="true" hidden="false" outlineLevel="0" max="5" min="5" style="0" width="30"/>
    <col collapsed="false" customWidth="true" hidden="false" outlineLevel="0" max="6" min="6" style="0" width="38"/>
    <col collapsed="false" customWidth="true" hidden="false" outlineLevel="0" max="7" min="7" style="0" width="46"/>
    <col collapsed="false" customWidth="true" hidden="false" outlineLevel="0" max="8" min="8" style="0" width="18"/>
    <col collapsed="false" customWidth="true" hidden="false" outlineLevel="0" max="9" min="9" style="0" width="32"/>
    <col collapsed="false" customWidth="true" hidden="false" outlineLevel="0" max="10" min="10" style="0" width="34"/>
    <col collapsed="false" customWidth="true" hidden="false" outlineLevel="0" max="12" min="11" style="0" width="30"/>
    <col collapsed="false" customWidth="true" hidden="false" outlineLevel="0" max="13" min="13" style="0" width="24"/>
    <col collapsed="false" customWidth="true" hidden="false" outlineLevel="0" max="14" min="14" style="0" width="14"/>
    <col collapsed="false" customWidth="true" hidden="false" outlineLevel="0" max="15" min="15" style="0" width="18"/>
  </cols>
  <sheetData>
    <row r="1" customFormat="false" ht="31.5" hidden="false" customHeight="true" outlineLevel="0" collapsed="false">
      <c r="A1" s="4" t="s">
        <v>17</v>
      </c>
      <c r="B1" s="4" t="s">
        <v>18</v>
      </c>
      <c r="C1" s="4" t="s">
        <v>19</v>
      </c>
      <c r="D1" s="4" t="s">
        <v>20</v>
      </c>
      <c r="E1" s="4" t="s">
        <v>21</v>
      </c>
      <c r="F1" s="4" t="s">
        <v>22</v>
      </c>
      <c r="G1" s="4" t="s">
        <v>23</v>
      </c>
      <c r="H1" s="4" t="s">
        <v>24</v>
      </c>
      <c r="I1" s="4" t="s">
        <v>25</v>
      </c>
      <c r="J1" s="4" t="s">
        <v>26</v>
      </c>
      <c r="K1" s="4" t="s">
        <v>7</v>
      </c>
      <c r="L1" s="4" t="s">
        <v>9</v>
      </c>
      <c r="M1" s="4" t="s">
        <v>27</v>
      </c>
      <c r="N1" s="4" t="s">
        <v>28</v>
      </c>
      <c r="O1" s="4" t="s">
        <v>29</v>
      </c>
    </row>
    <row r="2" customFormat="false" ht="35.05" hidden="false" customHeight="false" outlineLevel="0" collapsed="false">
      <c r="A2" s="5" t="n">
        <v>1</v>
      </c>
      <c r="B2" s="5"/>
      <c r="C2" s="6" t="s">
        <v>30</v>
      </c>
      <c r="D2" s="5" t="s">
        <v>31</v>
      </c>
      <c r="E2" s="5" t="s">
        <v>32</v>
      </c>
      <c r="F2" s="5" t="s">
        <v>33</v>
      </c>
      <c r="G2" s="5" t="s">
        <v>34</v>
      </c>
      <c r="H2" s="5" t="s">
        <v>35</v>
      </c>
      <c r="I2" s="5" t="s">
        <v>36</v>
      </c>
      <c r="J2" s="7" t="s">
        <v>37</v>
      </c>
      <c r="K2" s="5" t="s">
        <v>38</v>
      </c>
      <c r="L2" s="8" t="s">
        <v>39</v>
      </c>
      <c r="M2" s="5" t="s">
        <v>40</v>
      </c>
      <c r="N2" s="5" t="s">
        <v>41</v>
      </c>
      <c r="O2" s="5" t="s">
        <v>30</v>
      </c>
    </row>
    <row r="3" customFormat="false" ht="35.05" hidden="false" customHeight="false" outlineLevel="0" collapsed="false">
      <c r="A3" s="5" t="n">
        <v>2</v>
      </c>
      <c r="B3" s="5"/>
      <c r="C3" s="6" t="s">
        <v>30</v>
      </c>
      <c r="D3" s="5" t="s">
        <v>31</v>
      </c>
      <c r="E3" s="5" t="s">
        <v>42</v>
      </c>
      <c r="F3" s="5" t="s">
        <v>43</v>
      </c>
      <c r="G3" s="5" t="s">
        <v>44</v>
      </c>
      <c r="H3" s="5" t="s">
        <v>45</v>
      </c>
      <c r="I3" s="5" t="s">
        <v>46</v>
      </c>
      <c r="J3" s="7" t="s">
        <v>47</v>
      </c>
      <c r="K3" s="5" t="s">
        <v>48</v>
      </c>
      <c r="L3" s="8" t="s">
        <v>39</v>
      </c>
      <c r="M3" s="5" t="s">
        <v>49</v>
      </c>
      <c r="N3" s="5" t="s">
        <v>41</v>
      </c>
      <c r="O3" s="5" t="s">
        <v>30</v>
      </c>
    </row>
    <row r="4" customFormat="false" ht="23.85" hidden="false" customHeight="false" outlineLevel="0" collapsed="false">
      <c r="A4" s="5" t="n">
        <v>3</v>
      </c>
      <c r="B4" s="5"/>
      <c r="C4" s="6" t="s">
        <v>30</v>
      </c>
      <c r="D4" s="5" t="s">
        <v>31</v>
      </c>
      <c r="E4" s="5" t="s">
        <v>50</v>
      </c>
      <c r="F4" s="5" t="s">
        <v>51</v>
      </c>
      <c r="G4" s="5" t="s">
        <v>52</v>
      </c>
      <c r="H4" s="5" t="s">
        <v>53</v>
      </c>
      <c r="I4" s="5" t="s">
        <v>54</v>
      </c>
      <c r="J4" s="7" t="s">
        <v>55</v>
      </c>
      <c r="K4" s="5" t="s">
        <v>48</v>
      </c>
      <c r="L4" s="8" t="s">
        <v>39</v>
      </c>
      <c r="M4" s="5" t="s">
        <v>56</v>
      </c>
      <c r="N4" s="5" t="s">
        <v>41</v>
      </c>
      <c r="O4" s="5" t="s">
        <v>30</v>
      </c>
    </row>
    <row r="5" customFormat="false" ht="23.85" hidden="false" customHeight="false" outlineLevel="0" collapsed="false">
      <c r="A5" s="5" t="n">
        <v>4</v>
      </c>
      <c r="B5" s="5" t="s">
        <v>57</v>
      </c>
      <c r="C5" s="6" t="n">
        <v>46304</v>
      </c>
      <c r="D5" s="5" t="s">
        <v>58</v>
      </c>
      <c r="E5" s="5" t="s">
        <v>59</v>
      </c>
      <c r="F5" s="5" t="s">
        <v>60</v>
      </c>
      <c r="G5" s="5" t="s">
        <v>61</v>
      </c>
      <c r="H5" s="5" t="s">
        <v>62</v>
      </c>
      <c r="I5" s="5" t="s">
        <v>63</v>
      </c>
      <c r="J5" s="7" t="s">
        <v>64</v>
      </c>
      <c r="K5" s="5" t="s">
        <v>48</v>
      </c>
      <c r="L5" s="8" t="s">
        <v>65</v>
      </c>
      <c r="M5" s="5" t="s">
        <v>66</v>
      </c>
      <c r="N5" s="5" t="s">
        <v>67</v>
      </c>
      <c r="O5" s="5" t="s">
        <v>68</v>
      </c>
    </row>
    <row r="6" customFormat="false" ht="23.85" hidden="false" customHeight="false" outlineLevel="0" collapsed="false">
      <c r="A6" s="5" t="n">
        <v>5</v>
      </c>
      <c r="B6" s="5" t="s">
        <v>69</v>
      </c>
      <c r="C6" s="6" t="n">
        <v>46306</v>
      </c>
      <c r="D6" s="5" t="s">
        <v>58</v>
      </c>
      <c r="E6" s="5" t="s">
        <v>70</v>
      </c>
      <c r="F6" s="5" t="s">
        <v>71</v>
      </c>
      <c r="G6" s="5" t="s">
        <v>72</v>
      </c>
      <c r="H6" s="5" t="s">
        <v>73</v>
      </c>
      <c r="I6" s="5" t="s">
        <v>74</v>
      </c>
      <c r="J6" s="7" t="s">
        <v>75</v>
      </c>
      <c r="K6" s="5" t="s">
        <v>48</v>
      </c>
      <c r="L6" s="8" t="s">
        <v>65</v>
      </c>
      <c r="M6" s="5" t="s">
        <v>76</v>
      </c>
      <c r="N6" s="5" t="s">
        <v>67</v>
      </c>
      <c r="O6" s="5" t="s">
        <v>68</v>
      </c>
    </row>
    <row r="7" customFormat="false" ht="23.85" hidden="false" customHeight="false" outlineLevel="0" collapsed="false">
      <c r="A7" s="5" t="n">
        <v>6</v>
      </c>
      <c r="B7" s="5" t="s">
        <v>77</v>
      </c>
      <c r="C7" s="6" t="n">
        <v>46307</v>
      </c>
      <c r="D7" s="5" t="s">
        <v>58</v>
      </c>
      <c r="E7" s="5" t="s">
        <v>78</v>
      </c>
      <c r="F7" s="5" t="s">
        <v>79</v>
      </c>
      <c r="G7" s="5" t="s">
        <v>80</v>
      </c>
      <c r="H7" s="5" t="s">
        <v>81</v>
      </c>
      <c r="I7" s="5" t="s">
        <v>82</v>
      </c>
      <c r="J7" s="7" t="s">
        <v>83</v>
      </c>
      <c r="K7" s="5" t="s">
        <v>48</v>
      </c>
      <c r="L7" s="8" t="s">
        <v>65</v>
      </c>
      <c r="M7" s="5" t="s">
        <v>84</v>
      </c>
      <c r="N7" s="5" t="s">
        <v>67</v>
      </c>
      <c r="O7" s="5" t="s">
        <v>68</v>
      </c>
    </row>
    <row r="8" customFormat="false" ht="35.05" hidden="false" customHeight="false" outlineLevel="0" collapsed="false">
      <c r="A8" s="5" t="n">
        <v>7</v>
      </c>
      <c r="B8" s="5" t="s">
        <v>85</v>
      </c>
      <c r="C8" s="6" t="n">
        <v>46309</v>
      </c>
      <c r="D8" s="5" t="s">
        <v>86</v>
      </c>
      <c r="E8" s="5" t="s">
        <v>87</v>
      </c>
      <c r="F8" s="5" t="s">
        <v>88</v>
      </c>
      <c r="G8" s="5" t="s">
        <v>89</v>
      </c>
      <c r="H8" s="5" t="s">
        <v>90</v>
      </c>
      <c r="I8" s="5" t="s">
        <v>91</v>
      </c>
      <c r="J8" s="7" t="s">
        <v>92</v>
      </c>
      <c r="K8" s="5" t="s">
        <v>93</v>
      </c>
      <c r="L8" s="8" t="s">
        <v>94</v>
      </c>
      <c r="M8" s="5" t="s">
        <v>95</v>
      </c>
      <c r="N8" s="5" t="s">
        <v>96</v>
      </c>
      <c r="O8" s="5" t="s">
        <v>97</v>
      </c>
    </row>
    <row r="9" customFormat="false" ht="35.05" hidden="false" customHeight="false" outlineLevel="0" collapsed="false">
      <c r="A9" s="9" t="n">
        <v>8</v>
      </c>
      <c r="B9" s="9" t="s">
        <v>57</v>
      </c>
      <c r="C9" s="10" t="n">
        <v>46311</v>
      </c>
      <c r="D9" s="9" t="s">
        <v>31</v>
      </c>
      <c r="E9" s="9" t="s">
        <v>98</v>
      </c>
      <c r="F9" s="9" t="s">
        <v>99</v>
      </c>
      <c r="G9" s="9" t="s">
        <v>100</v>
      </c>
      <c r="H9" s="9" t="s">
        <v>101</v>
      </c>
      <c r="I9" s="9" t="s">
        <v>102</v>
      </c>
      <c r="J9" s="11" t="s">
        <v>103</v>
      </c>
      <c r="K9" s="9" t="s">
        <v>104</v>
      </c>
      <c r="L9" s="12" t="s">
        <v>105</v>
      </c>
      <c r="M9" s="9" t="s">
        <v>106</v>
      </c>
      <c r="N9" s="9" t="s">
        <v>107</v>
      </c>
      <c r="O9" s="9" t="s">
        <v>97</v>
      </c>
    </row>
    <row r="10" customFormat="false" ht="35.05" hidden="false" customHeight="false" outlineLevel="0" collapsed="false">
      <c r="A10" s="9" t="n">
        <v>9</v>
      </c>
      <c r="B10" s="9" t="s">
        <v>69</v>
      </c>
      <c r="C10" s="10" t="n">
        <v>46313</v>
      </c>
      <c r="D10" s="9" t="s">
        <v>108</v>
      </c>
      <c r="E10" s="9" t="s">
        <v>109</v>
      </c>
      <c r="F10" s="9" t="s">
        <v>110</v>
      </c>
      <c r="G10" s="9" t="s">
        <v>111</v>
      </c>
      <c r="H10" s="9" t="s">
        <v>90</v>
      </c>
      <c r="I10" s="9" t="s">
        <v>112</v>
      </c>
      <c r="J10" s="11" t="s">
        <v>113</v>
      </c>
      <c r="K10" s="9" t="s">
        <v>114</v>
      </c>
      <c r="L10" s="12" t="s">
        <v>115</v>
      </c>
      <c r="M10" s="9" t="s">
        <v>116</v>
      </c>
      <c r="N10" s="9" t="s">
        <v>96</v>
      </c>
      <c r="O10" s="9" t="s">
        <v>97</v>
      </c>
    </row>
    <row r="11" customFormat="false" ht="35.05" hidden="false" customHeight="false" outlineLevel="0" collapsed="false">
      <c r="A11" s="9" t="n">
        <v>10</v>
      </c>
      <c r="B11" s="9" t="s">
        <v>77</v>
      </c>
      <c r="C11" s="10" t="n">
        <v>46314</v>
      </c>
      <c r="D11" s="9" t="s">
        <v>117</v>
      </c>
      <c r="E11" s="9" t="s">
        <v>118</v>
      </c>
      <c r="F11" s="9" t="s">
        <v>119</v>
      </c>
      <c r="G11" s="9" t="s">
        <v>120</v>
      </c>
      <c r="H11" s="9" t="s">
        <v>101</v>
      </c>
      <c r="I11" s="9" t="s">
        <v>121</v>
      </c>
      <c r="J11" s="11" t="s">
        <v>122</v>
      </c>
      <c r="K11" s="9" t="s">
        <v>123</v>
      </c>
      <c r="L11" s="12" t="s">
        <v>124</v>
      </c>
      <c r="M11" s="9" t="s">
        <v>125</v>
      </c>
      <c r="N11" s="9" t="s">
        <v>96</v>
      </c>
      <c r="O11" s="9" t="s">
        <v>97</v>
      </c>
    </row>
    <row r="12" customFormat="false" ht="35.05" hidden="false" customHeight="false" outlineLevel="0" collapsed="false">
      <c r="A12" s="9" t="n">
        <v>11</v>
      </c>
      <c r="B12" s="9" t="s">
        <v>85</v>
      </c>
      <c r="C12" s="10" t="n">
        <v>46316</v>
      </c>
      <c r="D12" s="9" t="s">
        <v>86</v>
      </c>
      <c r="E12" s="9" t="s">
        <v>126</v>
      </c>
      <c r="F12" s="9" t="s">
        <v>127</v>
      </c>
      <c r="G12" s="9" t="s">
        <v>128</v>
      </c>
      <c r="H12" s="9" t="s">
        <v>101</v>
      </c>
      <c r="I12" s="9" t="s">
        <v>129</v>
      </c>
      <c r="J12" s="11" t="s">
        <v>130</v>
      </c>
      <c r="K12" s="9" t="s">
        <v>131</v>
      </c>
      <c r="L12" s="12" t="s">
        <v>132</v>
      </c>
      <c r="M12" s="9" t="s">
        <v>133</v>
      </c>
      <c r="N12" s="9" t="s">
        <v>96</v>
      </c>
      <c r="O12" s="9" t="s">
        <v>97</v>
      </c>
    </row>
    <row r="13" customFormat="false" ht="35.05" hidden="false" customHeight="false" outlineLevel="0" collapsed="false">
      <c r="A13" s="5" t="n">
        <v>12</v>
      </c>
      <c r="B13" s="5" t="s">
        <v>57</v>
      </c>
      <c r="C13" s="6" t="n">
        <v>46318</v>
      </c>
      <c r="D13" s="5" t="s">
        <v>134</v>
      </c>
      <c r="E13" s="5" t="s">
        <v>135</v>
      </c>
      <c r="F13" s="5" t="s">
        <v>136</v>
      </c>
      <c r="G13" s="5" t="s">
        <v>137</v>
      </c>
      <c r="H13" s="5" t="s">
        <v>101</v>
      </c>
      <c r="I13" s="5" t="s">
        <v>138</v>
      </c>
      <c r="J13" s="7" t="s">
        <v>139</v>
      </c>
      <c r="K13" s="5" t="s">
        <v>140</v>
      </c>
      <c r="L13" s="5"/>
      <c r="M13" s="5" t="s">
        <v>141</v>
      </c>
      <c r="N13" s="5" t="s">
        <v>96</v>
      </c>
      <c r="O13" s="5" t="s">
        <v>97</v>
      </c>
    </row>
    <row r="14" customFormat="false" ht="35.05" hidden="false" customHeight="false" outlineLevel="0" collapsed="false">
      <c r="A14" s="5" t="n">
        <v>13</v>
      </c>
      <c r="B14" s="5" t="s">
        <v>69</v>
      </c>
      <c r="C14" s="6" t="n">
        <v>46320</v>
      </c>
      <c r="D14" s="5" t="s">
        <v>58</v>
      </c>
      <c r="E14" s="5" t="s">
        <v>142</v>
      </c>
      <c r="F14" s="5" t="s">
        <v>143</v>
      </c>
      <c r="G14" s="5" t="s">
        <v>144</v>
      </c>
      <c r="H14" s="5" t="s">
        <v>145</v>
      </c>
      <c r="I14" s="5" t="s">
        <v>146</v>
      </c>
      <c r="J14" s="7" t="s">
        <v>147</v>
      </c>
      <c r="K14" s="5" t="s">
        <v>148</v>
      </c>
      <c r="L14" s="8" t="s">
        <v>149</v>
      </c>
      <c r="M14" s="5" t="s">
        <v>150</v>
      </c>
      <c r="N14" s="5" t="s">
        <v>96</v>
      </c>
      <c r="O14" s="5" t="s">
        <v>97</v>
      </c>
    </row>
    <row r="15" customFormat="false" ht="46.25" hidden="false" customHeight="false" outlineLevel="0" collapsed="false">
      <c r="A15" s="5" t="n">
        <v>14</v>
      </c>
      <c r="B15" s="5" t="s">
        <v>77</v>
      </c>
      <c r="C15" s="6" t="n">
        <v>46321</v>
      </c>
      <c r="D15" s="5" t="s">
        <v>86</v>
      </c>
      <c r="E15" s="5" t="s">
        <v>151</v>
      </c>
      <c r="F15" s="5" t="s">
        <v>152</v>
      </c>
      <c r="G15" s="5" t="s">
        <v>153</v>
      </c>
      <c r="H15" s="5" t="s">
        <v>90</v>
      </c>
      <c r="I15" s="5" t="s">
        <v>154</v>
      </c>
      <c r="J15" s="7" t="s">
        <v>155</v>
      </c>
      <c r="K15" s="5" t="s">
        <v>156</v>
      </c>
      <c r="L15" s="8" t="s">
        <v>124</v>
      </c>
      <c r="M15" s="5" t="s">
        <v>157</v>
      </c>
      <c r="N15" s="5" t="s">
        <v>96</v>
      </c>
      <c r="O15" s="5" t="s">
        <v>97</v>
      </c>
    </row>
    <row r="16" customFormat="false" ht="35.05" hidden="false" customHeight="false" outlineLevel="0" collapsed="false">
      <c r="A16" s="5" t="n">
        <v>15</v>
      </c>
      <c r="B16" s="5" t="s">
        <v>85</v>
      </c>
      <c r="C16" s="6" t="n">
        <v>46323</v>
      </c>
      <c r="D16" s="5" t="s">
        <v>108</v>
      </c>
      <c r="E16" s="5" t="s">
        <v>158</v>
      </c>
      <c r="F16" s="5" t="s">
        <v>159</v>
      </c>
      <c r="G16" s="5" t="s">
        <v>160</v>
      </c>
      <c r="H16" s="5" t="s">
        <v>90</v>
      </c>
      <c r="I16" s="5" t="s">
        <v>161</v>
      </c>
      <c r="J16" s="7" t="s">
        <v>162</v>
      </c>
      <c r="K16" s="5" t="s">
        <v>163</v>
      </c>
      <c r="L16" s="8" t="s">
        <v>164</v>
      </c>
      <c r="M16" s="5" t="s">
        <v>165</v>
      </c>
      <c r="N16" s="5" t="s">
        <v>166</v>
      </c>
      <c r="O16" s="5" t="s">
        <v>97</v>
      </c>
    </row>
    <row r="17" customFormat="false" ht="35.05" hidden="false" customHeight="false" outlineLevel="0" collapsed="false">
      <c r="A17" s="9" t="n">
        <v>16</v>
      </c>
      <c r="B17" s="9" t="s">
        <v>57</v>
      </c>
      <c r="C17" s="10" t="n">
        <v>46325</v>
      </c>
      <c r="D17" s="9" t="s">
        <v>117</v>
      </c>
      <c r="E17" s="9" t="s">
        <v>167</v>
      </c>
      <c r="F17" s="9" t="s">
        <v>168</v>
      </c>
      <c r="G17" s="9" t="s">
        <v>169</v>
      </c>
      <c r="H17" s="9" t="s">
        <v>90</v>
      </c>
      <c r="I17" s="9" t="s">
        <v>170</v>
      </c>
      <c r="J17" s="11" t="s">
        <v>171</v>
      </c>
      <c r="K17" s="9" t="s">
        <v>172</v>
      </c>
      <c r="L17" s="9"/>
      <c r="M17" s="9" t="s">
        <v>173</v>
      </c>
      <c r="N17" s="9" t="s">
        <v>174</v>
      </c>
      <c r="O17" s="9" t="s">
        <v>97</v>
      </c>
    </row>
    <row r="18" customFormat="false" ht="35.05" hidden="false" customHeight="false" outlineLevel="0" collapsed="false">
      <c r="A18" s="9" t="n">
        <v>17</v>
      </c>
      <c r="B18" s="9" t="s">
        <v>69</v>
      </c>
      <c r="C18" s="10" t="n">
        <v>46327</v>
      </c>
      <c r="D18" s="9" t="s">
        <v>86</v>
      </c>
      <c r="E18" s="9" t="s">
        <v>175</v>
      </c>
      <c r="F18" s="9" t="s">
        <v>176</v>
      </c>
      <c r="G18" s="9" t="s">
        <v>177</v>
      </c>
      <c r="H18" s="9" t="s">
        <v>101</v>
      </c>
      <c r="I18" s="9" t="s">
        <v>178</v>
      </c>
      <c r="J18" s="11" t="s">
        <v>155</v>
      </c>
      <c r="K18" s="9" t="s">
        <v>179</v>
      </c>
      <c r="L18" s="12" t="s">
        <v>124</v>
      </c>
      <c r="M18" s="9" t="s">
        <v>180</v>
      </c>
      <c r="N18" s="9" t="s">
        <v>96</v>
      </c>
      <c r="O18" s="9" t="s">
        <v>97</v>
      </c>
    </row>
    <row r="19" customFormat="false" ht="23.85" hidden="false" customHeight="false" outlineLevel="0" collapsed="false">
      <c r="A19" s="9" t="n">
        <v>18</v>
      </c>
      <c r="B19" s="9" t="s">
        <v>77</v>
      </c>
      <c r="C19" s="10" t="n">
        <v>46328</v>
      </c>
      <c r="D19" s="9" t="s">
        <v>31</v>
      </c>
      <c r="E19" s="9" t="s">
        <v>181</v>
      </c>
      <c r="F19" s="9" t="s">
        <v>182</v>
      </c>
      <c r="G19" s="9" t="s">
        <v>183</v>
      </c>
      <c r="H19" s="9" t="s">
        <v>101</v>
      </c>
      <c r="I19" s="9" t="s">
        <v>184</v>
      </c>
      <c r="J19" s="11" t="s">
        <v>185</v>
      </c>
      <c r="K19" s="9" t="s">
        <v>186</v>
      </c>
      <c r="L19" s="9"/>
      <c r="M19" s="9" t="s">
        <v>187</v>
      </c>
      <c r="N19" s="9" t="s">
        <v>96</v>
      </c>
      <c r="O19" s="9" t="s">
        <v>97</v>
      </c>
    </row>
    <row r="20" customFormat="false" ht="35.05" hidden="false" customHeight="false" outlineLevel="0" collapsed="false">
      <c r="A20" s="9" t="n">
        <v>19</v>
      </c>
      <c r="B20" s="9" t="s">
        <v>85</v>
      </c>
      <c r="C20" s="10" t="n">
        <v>46330</v>
      </c>
      <c r="D20" s="9" t="s">
        <v>58</v>
      </c>
      <c r="E20" s="9" t="s">
        <v>188</v>
      </c>
      <c r="F20" s="9" t="s">
        <v>189</v>
      </c>
      <c r="G20" s="9" t="s">
        <v>190</v>
      </c>
      <c r="H20" s="9" t="s">
        <v>191</v>
      </c>
      <c r="I20" s="9" t="s">
        <v>192</v>
      </c>
      <c r="J20" s="11" t="s">
        <v>193</v>
      </c>
      <c r="K20" s="9" t="s">
        <v>194</v>
      </c>
      <c r="L20" s="12" t="s">
        <v>195</v>
      </c>
      <c r="M20" s="9" t="s">
        <v>196</v>
      </c>
      <c r="N20" s="9" t="s">
        <v>96</v>
      </c>
      <c r="O20" s="9" t="s">
        <v>97</v>
      </c>
    </row>
    <row r="21" customFormat="false" ht="35.05" hidden="false" customHeight="false" outlineLevel="0" collapsed="false">
      <c r="A21" s="5" t="n">
        <v>20</v>
      </c>
      <c r="B21" s="5" t="s">
        <v>57</v>
      </c>
      <c r="C21" s="6" t="n">
        <v>46332</v>
      </c>
      <c r="D21" s="5" t="s">
        <v>108</v>
      </c>
      <c r="E21" s="5" t="s">
        <v>197</v>
      </c>
      <c r="F21" s="5" t="s">
        <v>198</v>
      </c>
      <c r="G21" s="5" t="s">
        <v>199</v>
      </c>
      <c r="H21" s="5" t="s">
        <v>101</v>
      </c>
      <c r="I21" s="5" t="s">
        <v>200</v>
      </c>
      <c r="J21" s="7" t="s">
        <v>201</v>
      </c>
      <c r="K21" s="5" t="s">
        <v>202</v>
      </c>
      <c r="L21" s="5"/>
      <c r="M21" s="5" t="s">
        <v>203</v>
      </c>
      <c r="N21" s="5" t="s">
        <v>174</v>
      </c>
      <c r="O21" s="5" t="s">
        <v>97</v>
      </c>
    </row>
    <row r="22" customFormat="false" ht="35.05" hidden="false" customHeight="false" outlineLevel="0" collapsed="false">
      <c r="A22" s="5" t="n">
        <v>21</v>
      </c>
      <c r="B22" s="5" t="s">
        <v>69</v>
      </c>
      <c r="C22" s="6" t="n">
        <v>46334</v>
      </c>
      <c r="D22" s="5" t="s">
        <v>117</v>
      </c>
      <c r="E22" s="5" t="s">
        <v>204</v>
      </c>
      <c r="F22" s="5" t="s">
        <v>205</v>
      </c>
      <c r="G22" s="5" t="s">
        <v>206</v>
      </c>
      <c r="H22" s="5" t="s">
        <v>101</v>
      </c>
      <c r="I22" s="5" t="s">
        <v>207</v>
      </c>
      <c r="J22" s="7" t="s">
        <v>122</v>
      </c>
      <c r="K22" s="5" t="s">
        <v>208</v>
      </c>
      <c r="L22" s="8" t="s">
        <v>124</v>
      </c>
      <c r="M22" s="5" t="s">
        <v>209</v>
      </c>
      <c r="N22" s="5" t="s">
        <v>174</v>
      </c>
      <c r="O22" s="5" t="s">
        <v>97</v>
      </c>
    </row>
    <row r="23" customFormat="false" ht="35.05" hidden="false" customHeight="false" outlineLevel="0" collapsed="false">
      <c r="A23" s="5" t="n">
        <v>22</v>
      </c>
      <c r="B23" s="5" t="s">
        <v>77</v>
      </c>
      <c r="C23" s="6" t="n">
        <v>46335</v>
      </c>
      <c r="D23" s="5" t="s">
        <v>210</v>
      </c>
      <c r="E23" s="5" t="s">
        <v>211</v>
      </c>
      <c r="F23" s="5" t="s">
        <v>212</v>
      </c>
      <c r="G23" s="5" t="s">
        <v>213</v>
      </c>
      <c r="H23" s="5" t="s">
        <v>101</v>
      </c>
      <c r="I23" s="5" t="s">
        <v>214</v>
      </c>
      <c r="J23" s="7" t="s">
        <v>215</v>
      </c>
      <c r="K23" s="5" t="s">
        <v>216</v>
      </c>
      <c r="L23" s="8" t="s">
        <v>217</v>
      </c>
      <c r="M23" s="5" t="s">
        <v>218</v>
      </c>
      <c r="N23" s="5" t="s">
        <v>41</v>
      </c>
      <c r="O23" s="5" t="s">
        <v>97</v>
      </c>
    </row>
    <row r="24" customFormat="false" ht="46.25" hidden="false" customHeight="false" outlineLevel="0" collapsed="false">
      <c r="A24" s="5" t="n">
        <v>23</v>
      </c>
      <c r="B24" s="5" t="s">
        <v>85</v>
      </c>
      <c r="C24" s="6" t="n">
        <v>46337</v>
      </c>
      <c r="D24" s="5" t="s">
        <v>86</v>
      </c>
      <c r="E24" s="5" t="s">
        <v>219</v>
      </c>
      <c r="F24" s="5" t="s">
        <v>220</v>
      </c>
      <c r="G24" s="5" t="s">
        <v>221</v>
      </c>
      <c r="H24" s="5" t="s">
        <v>222</v>
      </c>
      <c r="I24" s="5" t="s">
        <v>223</v>
      </c>
      <c r="J24" s="7" t="s">
        <v>155</v>
      </c>
      <c r="K24" s="5" t="s">
        <v>224</v>
      </c>
      <c r="L24" s="8" t="s">
        <v>225</v>
      </c>
      <c r="M24" s="5" t="s">
        <v>226</v>
      </c>
      <c r="N24" s="5" t="s">
        <v>96</v>
      </c>
      <c r="O24" s="5" t="s">
        <v>97</v>
      </c>
    </row>
    <row r="25" customFormat="false" ht="46.25" hidden="false" customHeight="false" outlineLevel="0" collapsed="false">
      <c r="A25" s="9" t="n">
        <v>24</v>
      </c>
      <c r="B25" s="9" t="s">
        <v>57</v>
      </c>
      <c r="C25" s="10" t="n">
        <v>46339</v>
      </c>
      <c r="D25" s="9" t="s">
        <v>86</v>
      </c>
      <c r="E25" s="9" t="s">
        <v>227</v>
      </c>
      <c r="F25" s="9" t="s">
        <v>228</v>
      </c>
      <c r="G25" s="9" t="s">
        <v>229</v>
      </c>
      <c r="H25" s="9" t="s">
        <v>101</v>
      </c>
      <c r="I25" s="9" t="s">
        <v>230</v>
      </c>
      <c r="J25" s="11" t="s">
        <v>130</v>
      </c>
      <c r="K25" s="9" t="s">
        <v>231</v>
      </c>
      <c r="L25" s="12" t="s">
        <v>232</v>
      </c>
      <c r="M25" s="9" t="s">
        <v>233</v>
      </c>
      <c r="N25" s="9" t="s">
        <v>96</v>
      </c>
      <c r="O25" s="9" t="s">
        <v>97</v>
      </c>
    </row>
    <row r="26" customFormat="false" ht="35.05" hidden="false" customHeight="false" outlineLevel="0" collapsed="false">
      <c r="A26" s="9" t="n">
        <v>25</v>
      </c>
      <c r="B26" s="9" t="s">
        <v>69</v>
      </c>
      <c r="C26" s="10" t="n">
        <v>46341</v>
      </c>
      <c r="D26" s="9" t="s">
        <v>58</v>
      </c>
      <c r="E26" s="9" t="s">
        <v>234</v>
      </c>
      <c r="F26" s="9" t="s">
        <v>235</v>
      </c>
      <c r="G26" s="9" t="s">
        <v>236</v>
      </c>
      <c r="H26" s="9" t="s">
        <v>237</v>
      </c>
      <c r="I26" s="9" t="s">
        <v>238</v>
      </c>
      <c r="J26" s="11" t="s">
        <v>239</v>
      </c>
      <c r="K26" s="9" t="s">
        <v>240</v>
      </c>
      <c r="L26" s="12" t="s">
        <v>241</v>
      </c>
      <c r="M26" s="9" t="s">
        <v>242</v>
      </c>
      <c r="N26" s="9" t="s">
        <v>96</v>
      </c>
      <c r="O26" s="9" t="s">
        <v>97</v>
      </c>
    </row>
    <row r="27" customFormat="false" ht="35.05" hidden="false" customHeight="false" outlineLevel="0" collapsed="false">
      <c r="A27" s="9" t="n">
        <v>26</v>
      </c>
      <c r="B27" s="9" t="s">
        <v>77</v>
      </c>
      <c r="C27" s="10" t="n">
        <v>46342</v>
      </c>
      <c r="D27" s="9" t="s">
        <v>117</v>
      </c>
      <c r="E27" s="9" t="s">
        <v>243</v>
      </c>
      <c r="F27" s="9" t="s">
        <v>244</v>
      </c>
      <c r="G27" s="9" t="s">
        <v>245</v>
      </c>
      <c r="H27" s="9" t="s">
        <v>101</v>
      </c>
      <c r="I27" s="9" t="s">
        <v>246</v>
      </c>
      <c r="J27" s="11" t="s">
        <v>247</v>
      </c>
      <c r="K27" s="9" t="s">
        <v>240</v>
      </c>
      <c r="L27" s="12" t="s">
        <v>248</v>
      </c>
      <c r="M27" s="9" t="s">
        <v>249</v>
      </c>
      <c r="N27" s="9" t="s">
        <v>96</v>
      </c>
      <c r="O27" s="9" t="s">
        <v>97</v>
      </c>
    </row>
    <row r="28" customFormat="false" ht="35.05" hidden="false" customHeight="false" outlineLevel="0" collapsed="false">
      <c r="A28" s="9" t="n">
        <v>27</v>
      </c>
      <c r="B28" s="9" t="s">
        <v>85</v>
      </c>
      <c r="C28" s="10" t="n">
        <v>46344</v>
      </c>
      <c r="D28" s="9" t="s">
        <v>86</v>
      </c>
      <c r="E28" s="9" t="s">
        <v>250</v>
      </c>
      <c r="F28" s="9" t="s">
        <v>251</v>
      </c>
      <c r="G28" s="9" t="s">
        <v>252</v>
      </c>
      <c r="H28" s="9" t="s">
        <v>101</v>
      </c>
      <c r="I28" s="9" t="s">
        <v>253</v>
      </c>
      <c r="J28" s="11" t="s">
        <v>254</v>
      </c>
      <c r="K28" s="9" t="s">
        <v>255</v>
      </c>
      <c r="L28" s="9"/>
      <c r="M28" s="9" t="s">
        <v>256</v>
      </c>
      <c r="N28" s="9" t="s">
        <v>96</v>
      </c>
      <c r="O28" s="9" t="s">
        <v>97</v>
      </c>
    </row>
    <row r="29" customFormat="false" ht="46.25" hidden="false" customHeight="false" outlineLevel="0" collapsed="false">
      <c r="A29" s="5" t="n">
        <v>28</v>
      </c>
      <c r="B29" s="5" t="s">
        <v>57</v>
      </c>
      <c r="C29" s="6" t="n">
        <v>46346</v>
      </c>
      <c r="D29" s="5" t="s">
        <v>58</v>
      </c>
      <c r="E29" s="5" t="s">
        <v>257</v>
      </c>
      <c r="F29" s="5" t="s">
        <v>258</v>
      </c>
      <c r="G29" s="5" t="s">
        <v>259</v>
      </c>
      <c r="H29" s="5" t="s">
        <v>260</v>
      </c>
      <c r="I29" s="5" t="s">
        <v>261</v>
      </c>
      <c r="J29" s="7" t="s">
        <v>262</v>
      </c>
      <c r="K29" s="5" t="s">
        <v>263</v>
      </c>
      <c r="L29" s="8" t="s">
        <v>264</v>
      </c>
      <c r="M29" s="5" t="s">
        <v>265</v>
      </c>
      <c r="N29" s="5" t="s">
        <v>96</v>
      </c>
      <c r="O29" s="5" t="s">
        <v>97</v>
      </c>
    </row>
    <row r="30" customFormat="false" ht="35.05" hidden="false" customHeight="false" outlineLevel="0" collapsed="false">
      <c r="A30" s="5" t="n">
        <v>29</v>
      </c>
      <c r="B30" s="5" t="s">
        <v>69</v>
      </c>
      <c r="C30" s="6" t="n">
        <v>46348</v>
      </c>
      <c r="D30" s="5" t="s">
        <v>266</v>
      </c>
      <c r="E30" s="5" t="s">
        <v>267</v>
      </c>
      <c r="F30" s="5" t="s">
        <v>268</v>
      </c>
      <c r="G30" s="5" t="s">
        <v>269</v>
      </c>
      <c r="H30" s="5" t="s">
        <v>222</v>
      </c>
      <c r="I30" s="5" t="s">
        <v>270</v>
      </c>
      <c r="J30" s="7" t="s">
        <v>271</v>
      </c>
      <c r="K30" s="5" t="s">
        <v>272</v>
      </c>
      <c r="L30" s="8" t="s">
        <v>273</v>
      </c>
      <c r="M30" s="5" t="s">
        <v>274</v>
      </c>
      <c r="N30" s="5" t="s">
        <v>41</v>
      </c>
      <c r="O30" s="5" t="s">
        <v>97</v>
      </c>
    </row>
    <row r="31" customFormat="false" ht="35.05" hidden="false" customHeight="false" outlineLevel="0" collapsed="false">
      <c r="A31" s="5" t="n">
        <v>30</v>
      </c>
      <c r="B31" s="5" t="s">
        <v>77</v>
      </c>
      <c r="C31" s="6" t="n">
        <v>46349</v>
      </c>
      <c r="D31" s="5" t="s">
        <v>134</v>
      </c>
      <c r="E31" s="5" t="s">
        <v>275</v>
      </c>
      <c r="F31" s="5" t="s">
        <v>276</v>
      </c>
      <c r="G31" s="5" t="s">
        <v>277</v>
      </c>
      <c r="H31" s="5" t="s">
        <v>278</v>
      </c>
      <c r="I31" s="5" t="s">
        <v>279</v>
      </c>
      <c r="J31" s="7" t="s">
        <v>280</v>
      </c>
      <c r="K31" s="5" t="s">
        <v>281</v>
      </c>
      <c r="L31" s="8" t="s">
        <v>282</v>
      </c>
      <c r="M31" s="5" t="s">
        <v>283</v>
      </c>
      <c r="N31" s="5" t="s">
        <v>96</v>
      </c>
      <c r="O31" s="5" t="s">
        <v>97</v>
      </c>
    </row>
    <row r="32" customFormat="false" ht="35.05" hidden="false" customHeight="false" outlineLevel="0" collapsed="false">
      <c r="A32" s="5" t="n">
        <v>31</v>
      </c>
      <c r="B32" s="5" t="s">
        <v>85</v>
      </c>
      <c r="C32" s="6" t="n">
        <v>46351</v>
      </c>
      <c r="D32" s="5" t="s">
        <v>117</v>
      </c>
      <c r="E32" s="5" t="s">
        <v>284</v>
      </c>
      <c r="F32" s="5" t="s">
        <v>285</v>
      </c>
      <c r="G32" s="5" t="s">
        <v>286</v>
      </c>
      <c r="H32" s="5" t="s">
        <v>101</v>
      </c>
      <c r="I32" s="5" t="s">
        <v>287</v>
      </c>
      <c r="J32" s="7" t="s">
        <v>288</v>
      </c>
      <c r="K32" s="5" t="s">
        <v>289</v>
      </c>
      <c r="L32" s="8" t="s">
        <v>124</v>
      </c>
      <c r="M32" s="5" t="s">
        <v>290</v>
      </c>
      <c r="N32" s="5" t="s">
        <v>174</v>
      </c>
      <c r="O32" s="5" t="s">
        <v>97</v>
      </c>
    </row>
    <row r="33" customFormat="false" ht="35.05" hidden="false" customHeight="false" outlineLevel="0" collapsed="false">
      <c r="A33" s="9" t="n">
        <v>32</v>
      </c>
      <c r="B33" s="9" t="s">
        <v>57</v>
      </c>
      <c r="C33" s="10" t="n">
        <v>46353</v>
      </c>
      <c r="D33" s="9" t="s">
        <v>108</v>
      </c>
      <c r="E33" s="9" t="s">
        <v>291</v>
      </c>
      <c r="F33" s="9" t="s">
        <v>292</v>
      </c>
      <c r="G33" s="9" t="s">
        <v>293</v>
      </c>
      <c r="H33" s="9" t="s">
        <v>101</v>
      </c>
      <c r="I33" s="9" t="s">
        <v>294</v>
      </c>
      <c r="J33" s="11" t="s">
        <v>295</v>
      </c>
      <c r="K33" s="9" t="s">
        <v>163</v>
      </c>
      <c r="L33" s="12" t="s">
        <v>296</v>
      </c>
      <c r="M33" s="9" t="s">
        <v>297</v>
      </c>
      <c r="N33" s="9" t="s">
        <v>174</v>
      </c>
      <c r="O33" s="9" t="s">
        <v>97</v>
      </c>
    </row>
    <row r="34" customFormat="false" ht="35.05" hidden="false" customHeight="false" outlineLevel="0" collapsed="false">
      <c r="A34" s="9" t="n">
        <v>33</v>
      </c>
      <c r="B34" s="9" t="s">
        <v>69</v>
      </c>
      <c r="C34" s="10" t="n">
        <v>46355</v>
      </c>
      <c r="D34" s="9" t="s">
        <v>108</v>
      </c>
      <c r="E34" s="9" t="s">
        <v>298</v>
      </c>
      <c r="F34" s="9" t="s">
        <v>299</v>
      </c>
      <c r="G34" s="9" t="s">
        <v>300</v>
      </c>
      <c r="H34" s="9" t="s">
        <v>90</v>
      </c>
      <c r="I34" s="9" t="s">
        <v>301</v>
      </c>
      <c r="J34" s="11" t="s">
        <v>302</v>
      </c>
      <c r="K34" s="9" t="s">
        <v>303</v>
      </c>
      <c r="L34" s="12" t="s">
        <v>304</v>
      </c>
      <c r="M34" s="9" t="s">
        <v>305</v>
      </c>
      <c r="N34" s="9" t="s">
        <v>174</v>
      </c>
      <c r="O34" s="9" t="s">
        <v>97</v>
      </c>
    </row>
    <row r="35" customFormat="false" ht="46.25" hidden="false" customHeight="false" outlineLevel="0" collapsed="false">
      <c r="A35" s="9" t="n">
        <v>34</v>
      </c>
      <c r="B35" s="9" t="s">
        <v>77</v>
      </c>
      <c r="C35" s="10" t="n">
        <v>46356</v>
      </c>
      <c r="D35" s="9" t="s">
        <v>58</v>
      </c>
      <c r="E35" s="9" t="s">
        <v>306</v>
      </c>
      <c r="F35" s="9" t="s">
        <v>307</v>
      </c>
      <c r="G35" s="9" t="s">
        <v>308</v>
      </c>
      <c r="H35" s="9" t="s">
        <v>260</v>
      </c>
      <c r="I35" s="9" t="s">
        <v>309</v>
      </c>
      <c r="J35" s="11" t="s">
        <v>310</v>
      </c>
      <c r="K35" s="9" t="s">
        <v>311</v>
      </c>
      <c r="L35" s="12" t="s">
        <v>312</v>
      </c>
      <c r="M35" s="9" t="s">
        <v>313</v>
      </c>
      <c r="N35" s="9" t="s">
        <v>96</v>
      </c>
      <c r="O35" s="9" t="s">
        <v>97</v>
      </c>
    </row>
    <row r="36" customFormat="false" ht="35.05" hidden="false" customHeight="false" outlineLevel="0" collapsed="false">
      <c r="A36" s="9" t="n">
        <v>35</v>
      </c>
      <c r="B36" s="9" t="s">
        <v>85</v>
      </c>
      <c r="C36" s="10" t="n">
        <v>46358</v>
      </c>
      <c r="D36" s="9" t="s">
        <v>134</v>
      </c>
      <c r="E36" s="9" t="s">
        <v>314</v>
      </c>
      <c r="F36" s="9" t="s">
        <v>315</v>
      </c>
      <c r="G36" s="9" t="s">
        <v>316</v>
      </c>
      <c r="H36" s="9" t="s">
        <v>101</v>
      </c>
      <c r="I36" s="9" t="s">
        <v>317</v>
      </c>
      <c r="J36" s="11" t="s">
        <v>318</v>
      </c>
      <c r="K36" s="9" t="s">
        <v>319</v>
      </c>
      <c r="L36" s="9"/>
      <c r="M36" s="9" t="s">
        <v>320</v>
      </c>
      <c r="N36" s="9" t="s">
        <v>166</v>
      </c>
      <c r="O36" s="9" t="s">
        <v>97</v>
      </c>
    </row>
    <row r="37" customFormat="false" ht="35.05" hidden="false" customHeight="false" outlineLevel="0" collapsed="false">
      <c r="A37" s="5" t="n">
        <v>36</v>
      </c>
      <c r="B37" s="5" t="s">
        <v>57</v>
      </c>
      <c r="C37" s="6" t="n">
        <v>46360</v>
      </c>
      <c r="D37" s="5" t="s">
        <v>117</v>
      </c>
      <c r="E37" s="5" t="s">
        <v>321</v>
      </c>
      <c r="F37" s="5" t="s">
        <v>322</v>
      </c>
      <c r="G37" s="5" t="s">
        <v>323</v>
      </c>
      <c r="H37" s="5" t="s">
        <v>101</v>
      </c>
      <c r="I37" s="5" t="s">
        <v>121</v>
      </c>
      <c r="J37" s="7" t="s">
        <v>324</v>
      </c>
      <c r="K37" s="5" t="s">
        <v>325</v>
      </c>
      <c r="L37" s="8" t="s">
        <v>326</v>
      </c>
      <c r="M37" s="5" t="s">
        <v>327</v>
      </c>
      <c r="N37" s="5" t="s">
        <v>174</v>
      </c>
      <c r="O37" s="5" t="s">
        <v>97</v>
      </c>
    </row>
    <row r="38" customFormat="false" ht="35.05" hidden="false" customHeight="false" outlineLevel="0" collapsed="false">
      <c r="A38" s="5" t="n">
        <v>37</v>
      </c>
      <c r="B38" s="5" t="s">
        <v>69</v>
      </c>
      <c r="C38" s="6" t="n">
        <v>46362</v>
      </c>
      <c r="D38" s="5" t="s">
        <v>108</v>
      </c>
      <c r="E38" s="5" t="s">
        <v>328</v>
      </c>
      <c r="F38" s="5" t="s">
        <v>329</v>
      </c>
      <c r="G38" s="5" t="s">
        <v>330</v>
      </c>
      <c r="H38" s="5" t="s">
        <v>331</v>
      </c>
      <c r="I38" s="5" t="s">
        <v>332</v>
      </c>
      <c r="J38" s="7" t="s">
        <v>333</v>
      </c>
      <c r="K38" s="5" t="s">
        <v>334</v>
      </c>
      <c r="L38" s="8" t="s">
        <v>335</v>
      </c>
      <c r="M38" s="5" t="s">
        <v>336</v>
      </c>
      <c r="N38" s="5" t="s">
        <v>174</v>
      </c>
      <c r="O38" s="5" t="s">
        <v>97</v>
      </c>
    </row>
    <row r="39" customFormat="false" ht="35.05" hidden="false" customHeight="false" outlineLevel="0" collapsed="false">
      <c r="A39" s="5" t="n">
        <v>38</v>
      </c>
      <c r="B39" s="5" t="s">
        <v>77</v>
      </c>
      <c r="C39" s="6" t="n">
        <v>46363</v>
      </c>
      <c r="D39" s="5" t="s">
        <v>58</v>
      </c>
      <c r="E39" s="5" t="s">
        <v>337</v>
      </c>
      <c r="F39" s="5" t="s">
        <v>338</v>
      </c>
      <c r="G39" s="5" t="s">
        <v>339</v>
      </c>
      <c r="H39" s="5" t="s">
        <v>101</v>
      </c>
      <c r="I39" s="5" t="s">
        <v>340</v>
      </c>
      <c r="J39" s="7" t="s">
        <v>341</v>
      </c>
      <c r="K39" s="5" t="s">
        <v>342</v>
      </c>
      <c r="L39" s="8" t="s">
        <v>343</v>
      </c>
      <c r="M39" s="5" t="s">
        <v>344</v>
      </c>
      <c r="N39" s="5" t="s">
        <v>96</v>
      </c>
      <c r="O39" s="5" t="s">
        <v>97</v>
      </c>
    </row>
    <row r="40" customFormat="false" ht="35.05" hidden="false" customHeight="false" outlineLevel="0" collapsed="false">
      <c r="A40" s="5" t="n">
        <v>39</v>
      </c>
      <c r="B40" s="5" t="s">
        <v>85</v>
      </c>
      <c r="C40" s="6" t="n">
        <v>46365</v>
      </c>
      <c r="D40" s="5" t="s">
        <v>86</v>
      </c>
      <c r="E40" s="5" t="s">
        <v>345</v>
      </c>
      <c r="F40" s="5" t="s">
        <v>346</v>
      </c>
      <c r="G40" s="5" t="s">
        <v>347</v>
      </c>
      <c r="H40" s="5" t="s">
        <v>101</v>
      </c>
      <c r="I40" s="5" t="s">
        <v>348</v>
      </c>
      <c r="J40" s="7" t="s">
        <v>349</v>
      </c>
      <c r="K40" s="5" t="s">
        <v>350</v>
      </c>
      <c r="L40" s="8" t="s">
        <v>351</v>
      </c>
      <c r="M40" s="5" t="s">
        <v>352</v>
      </c>
      <c r="N40" s="5" t="s">
        <v>96</v>
      </c>
      <c r="O40" s="5" t="s">
        <v>97</v>
      </c>
    </row>
    <row r="41" customFormat="false" ht="35.05" hidden="false" customHeight="false" outlineLevel="0" collapsed="false">
      <c r="A41" s="9" t="n">
        <v>40</v>
      </c>
      <c r="B41" s="9" t="s">
        <v>57</v>
      </c>
      <c r="C41" s="10" t="n">
        <v>46367</v>
      </c>
      <c r="D41" s="9" t="s">
        <v>31</v>
      </c>
      <c r="E41" s="9" t="s">
        <v>353</v>
      </c>
      <c r="F41" s="9" t="s">
        <v>354</v>
      </c>
      <c r="G41" s="9" t="s">
        <v>355</v>
      </c>
      <c r="H41" s="9" t="s">
        <v>145</v>
      </c>
      <c r="I41" s="9" t="s">
        <v>253</v>
      </c>
      <c r="J41" s="11" t="s">
        <v>254</v>
      </c>
      <c r="K41" s="9" t="s">
        <v>356</v>
      </c>
      <c r="L41" s="12" t="s">
        <v>124</v>
      </c>
      <c r="M41" s="9" t="s">
        <v>357</v>
      </c>
      <c r="N41" s="9" t="s">
        <v>96</v>
      </c>
      <c r="O41" s="9" t="s">
        <v>97</v>
      </c>
    </row>
    <row r="42" customFormat="false" ht="35.05" hidden="false" customHeight="false" outlineLevel="0" collapsed="false">
      <c r="A42" s="9" t="n">
        <v>41</v>
      </c>
      <c r="B42" s="9" t="s">
        <v>69</v>
      </c>
      <c r="C42" s="10" t="n">
        <v>46369</v>
      </c>
      <c r="D42" s="9" t="s">
        <v>117</v>
      </c>
      <c r="E42" s="9" t="s">
        <v>358</v>
      </c>
      <c r="F42" s="9" t="s">
        <v>359</v>
      </c>
      <c r="G42" s="9" t="s">
        <v>360</v>
      </c>
      <c r="H42" s="9" t="s">
        <v>101</v>
      </c>
      <c r="I42" s="9" t="s">
        <v>361</v>
      </c>
      <c r="J42" s="11" t="s">
        <v>362</v>
      </c>
      <c r="K42" s="9" t="s">
        <v>363</v>
      </c>
      <c r="L42" s="12" t="s">
        <v>364</v>
      </c>
      <c r="M42" s="9" t="s">
        <v>365</v>
      </c>
      <c r="N42" s="9" t="s">
        <v>96</v>
      </c>
      <c r="O42" s="9" t="s">
        <v>97</v>
      </c>
    </row>
    <row r="43" customFormat="false" ht="46.25" hidden="false" customHeight="false" outlineLevel="0" collapsed="false">
      <c r="A43" s="9" t="n">
        <v>42</v>
      </c>
      <c r="B43" s="9" t="s">
        <v>77</v>
      </c>
      <c r="C43" s="10" t="n">
        <v>46370</v>
      </c>
      <c r="D43" s="9" t="s">
        <v>86</v>
      </c>
      <c r="E43" s="9" t="s">
        <v>366</v>
      </c>
      <c r="F43" s="9" t="s">
        <v>367</v>
      </c>
      <c r="G43" s="9" t="s">
        <v>368</v>
      </c>
      <c r="H43" s="9" t="s">
        <v>101</v>
      </c>
      <c r="I43" s="9" t="s">
        <v>369</v>
      </c>
      <c r="J43" s="11" t="s">
        <v>370</v>
      </c>
      <c r="K43" s="9" t="s">
        <v>371</v>
      </c>
      <c r="L43" s="12" t="s">
        <v>372</v>
      </c>
      <c r="M43" s="9" t="s">
        <v>373</v>
      </c>
      <c r="N43" s="9" t="s">
        <v>174</v>
      </c>
      <c r="O43" s="9" t="s">
        <v>97</v>
      </c>
    </row>
    <row r="44" customFormat="false" ht="46.25" hidden="false" customHeight="false" outlineLevel="0" collapsed="false">
      <c r="A44" s="9" t="n">
        <v>43</v>
      </c>
      <c r="B44" s="9" t="s">
        <v>85</v>
      </c>
      <c r="C44" s="10" t="n">
        <v>46372</v>
      </c>
      <c r="D44" s="9" t="s">
        <v>86</v>
      </c>
      <c r="E44" s="9" t="s">
        <v>374</v>
      </c>
      <c r="F44" s="9" t="s">
        <v>375</v>
      </c>
      <c r="G44" s="9" t="s">
        <v>376</v>
      </c>
      <c r="H44" s="9" t="s">
        <v>101</v>
      </c>
      <c r="I44" s="9" t="s">
        <v>377</v>
      </c>
      <c r="J44" s="11" t="s">
        <v>155</v>
      </c>
      <c r="K44" s="9" t="s">
        <v>378</v>
      </c>
      <c r="L44" s="12" t="s">
        <v>379</v>
      </c>
      <c r="M44" s="9" t="s">
        <v>380</v>
      </c>
      <c r="N44" s="9" t="s">
        <v>381</v>
      </c>
      <c r="O44" s="9" t="s">
        <v>97</v>
      </c>
    </row>
    <row r="45" customFormat="false" ht="46.25" hidden="false" customHeight="false" outlineLevel="0" collapsed="false">
      <c r="A45" s="5" t="n">
        <v>44</v>
      </c>
      <c r="B45" s="5" t="s">
        <v>57</v>
      </c>
      <c r="C45" s="6" t="n">
        <v>46374</v>
      </c>
      <c r="D45" s="5" t="s">
        <v>108</v>
      </c>
      <c r="E45" s="5" t="s">
        <v>382</v>
      </c>
      <c r="F45" s="5" t="s">
        <v>383</v>
      </c>
      <c r="G45" s="5" t="s">
        <v>384</v>
      </c>
      <c r="H45" s="5" t="s">
        <v>101</v>
      </c>
      <c r="I45" s="5" t="s">
        <v>385</v>
      </c>
      <c r="J45" s="7" t="s">
        <v>386</v>
      </c>
      <c r="K45" s="5" t="s">
        <v>387</v>
      </c>
      <c r="L45" s="8" t="s">
        <v>388</v>
      </c>
      <c r="M45" s="5" t="s">
        <v>389</v>
      </c>
      <c r="N45" s="5" t="s">
        <v>390</v>
      </c>
      <c r="O45" s="5" t="s">
        <v>97</v>
      </c>
    </row>
    <row r="46" customFormat="false" ht="35.05" hidden="false" customHeight="false" outlineLevel="0" collapsed="false">
      <c r="A46" s="5" t="n">
        <v>45</v>
      </c>
      <c r="B46" s="5" t="s">
        <v>69</v>
      </c>
      <c r="C46" s="6" t="n">
        <v>46376</v>
      </c>
      <c r="D46" s="5" t="s">
        <v>58</v>
      </c>
      <c r="E46" s="5" t="s">
        <v>391</v>
      </c>
      <c r="F46" s="5" t="s">
        <v>392</v>
      </c>
      <c r="G46" s="5" t="s">
        <v>393</v>
      </c>
      <c r="H46" s="5" t="s">
        <v>101</v>
      </c>
      <c r="I46" s="5" t="s">
        <v>253</v>
      </c>
      <c r="J46" s="7" t="s">
        <v>254</v>
      </c>
      <c r="K46" s="5" t="s">
        <v>394</v>
      </c>
      <c r="L46" s="5"/>
      <c r="M46" s="5" t="s">
        <v>395</v>
      </c>
      <c r="N46" s="5" t="s">
        <v>174</v>
      </c>
      <c r="O46" s="5" t="s">
        <v>97</v>
      </c>
    </row>
    <row r="47" customFormat="false" ht="35.05" hidden="false" customHeight="false" outlineLevel="0" collapsed="false">
      <c r="A47" s="5" t="n">
        <v>46</v>
      </c>
      <c r="B47" s="5" t="s">
        <v>77</v>
      </c>
      <c r="C47" s="6" t="n">
        <v>46377</v>
      </c>
      <c r="D47" s="5" t="s">
        <v>58</v>
      </c>
      <c r="E47" s="5" t="s">
        <v>396</v>
      </c>
      <c r="F47" s="5" t="s">
        <v>397</v>
      </c>
      <c r="G47" s="5" t="s">
        <v>398</v>
      </c>
      <c r="H47" s="5" t="s">
        <v>90</v>
      </c>
      <c r="I47" s="5" t="s">
        <v>399</v>
      </c>
      <c r="J47" s="7" t="s">
        <v>400</v>
      </c>
      <c r="K47" s="5" t="s">
        <v>401</v>
      </c>
      <c r="L47" s="8" t="s">
        <v>402</v>
      </c>
      <c r="M47" s="5" t="s">
        <v>403</v>
      </c>
      <c r="N47" s="5" t="s">
        <v>381</v>
      </c>
      <c r="O47" s="5" t="s">
        <v>97</v>
      </c>
    </row>
    <row r="48" customFormat="false" ht="35.05" hidden="false" customHeight="false" outlineLevel="0" collapsed="false">
      <c r="A48" s="5" t="n">
        <v>47</v>
      </c>
      <c r="B48" s="5" t="s">
        <v>85</v>
      </c>
      <c r="C48" s="6" t="n">
        <v>46379</v>
      </c>
      <c r="D48" s="5" t="s">
        <v>117</v>
      </c>
      <c r="E48" s="5" t="s">
        <v>404</v>
      </c>
      <c r="F48" s="5" t="s">
        <v>405</v>
      </c>
      <c r="G48" s="5" t="s">
        <v>406</v>
      </c>
      <c r="H48" s="5" t="s">
        <v>101</v>
      </c>
      <c r="I48" s="5" t="s">
        <v>407</v>
      </c>
      <c r="J48" s="7" t="s">
        <v>408</v>
      </c>
      <c r="K48" s="5" t="s">
        <v>409</v>
      </c>
      <c r="L48" s="8" t="s">
        <v>410</v>
      </c>
      <c r="M48" s="5" t="s">
        <v>411</v>
      </c>
      <c r="N48" s="5" t="s">
        <v>174</v>
      </c>
      <c r="O48" s="5" t="s">
        <v>97</v>
      </c>
    </row>
  </sheetData>
  <autoFilter ref="A1:O48"/>
  <dataValidations count="1">
    <dataValidation allowBlank="true" errorStyle="stop" operator="between" showDropDown="false" showErrorMessage="false" showInputMessage="false" sqref="O2:O48" type="list">
      <formula1>"Ý tưởng,Đã kiểm tra nguồn,Đã viết kịch bản,Đã có video,chờ giọng,Đã có video,Đã đăng"</formula1>
      <formula2>0</formula2>
    </dataValidation>
  </dataValidations>
  <hyperlinks>
    <hyperlink ref="J2" r:id="rId1" display="https://www.pewresearch.org/short-reads/2025/07/22/google-users-are-less-likely-to-click-on-links-when-an-ai-summary-appears-in-the-results/"/>
    <hyperlink ref="J3" r:id="rId2" display="https://ahrefs.com/blog/"/>
    <hyperlink ref="J4" r:id="rId3" display="https://sparktoro.com/blog/"/>
    <hyperlink ref="J5" r:id="rId4" display="https://www.gso.gov.vn"/>
    <hyperlink ref="J6" r:id="rId5" display="https://chinhphu.vn"/>
    <hyperlink ref="J7" r:id="rId6" display="https://www.jetro.go.jp"/>
    <hyperlink ref="J8" r:id="rId7" display="https://www.facebook.com/business/news"/>
    <hyperlink ref="J9" r:id="rId8" display="https://blog.google/products/search/ai-mode-expands-languages-locations/"/>
    <hyperlink ref="J10" r:id="rId9" display="https://baymard.com/lists/cart-abandonment-rate"/>
    <hyperlink ref="J11" r:id="rId10" display="https://www.appsflyer.com/resources/reports/app-marketing-vietnam/"/>
    <hyperlink ref="J12" r:id="rId11" display="https://investor.atmeta.com"/>
    <hyperlink ref="J13" r:id="rId12" display="https://ahrefs.com/blog/ai-overviews-reduce-clicks-update/"/>
    <hyperlink ref="J14" r:id="rId13" display="https://newsroom.tiktok.com/tiktok-surpasses-460-million-users-in-southeast-asia-inks-partnership-with-vietnams-ministry-of-culture-sports-and-tourism"/>
    <hyperlink ref="J15" r:id="rId14" display="https://metric.vn"/>
    <hyperlink ref="J16" r:id="rId15" display="https://www.mckinsey.com/capabilities/growth-marketing-and-sales/our-insights/the-value-of-getting-personalization-right-or-wrong-is-multiplying"/>
    <hyperlink ref="J17" r:id="rId16" display="https://www.appsflyer.com/resources/reports/state-fraud-marketers/"/>
    <hyperlink ref="J18" r:id="rId17" display="https://metric.vn"/>
    <hyperlink ref="J19" r:id="rId18" display="https://openai.com/index/scaling-ai-for-everyone/"/>
    <hyperlink ref="J20" r:id="rId19" display="https://thuvienphapluat.vn/van-ban/Thuong-mai/Luat-Thuong-mai-dien-tu-2025-so-122-2025-QH15-662035.aspx"/>
    <hyperlink ref="J21" r:id="rId20" display="https://www.twilio.com/en-us/press/releases/socer-2025"/>
    <hyperlink ref="J22" r:id="rId21" display="https://www.appsflyer.com/resources/reports/app-marketing-vietnam/"/>
    <hyperlink ref="J23" r:id="rId22" display="https://ahrefs.com/blog/ai-overview-citations-top-10/"/>
    <hyperlink ref="J24" r:id="rId23" display="https://metric.vn"/>
    <hyperlink ref="J25" r:id="rId24" display="https://investor.atmeta.com"/>
    <hyperlink ref="J26" r:id="rId25" display="https://qandme.net/vi/baibaocao/xu-huong-live-commerce-va-hanh-vi-nguoi-mua-viet-nam.html"/>
    <hyperlink ref="J27" r:id="rId26" display="https://www.adjust.com/blog/vietnam-app-trends-2026/"/>
    <hyperlink ref="J28" r:id="rId27" display="https://economysea.withgoogle.com/"/>
    <hyperlink ref="J29" r:id="rId28" display="https://vbpl.vn"/>
    <hyperlink ref="J30" r:id="rId29" display="https://business.adobe.com/blog/ai-traffic-surge-retail-sites-not-machine-readable"/>
    <hyperlink ref="J31" r:id="rId30" display="https://www.gartner.com/en/newsroom/press-releases/2024-02-19-gartner-predicts-search-engine-volume-will-drop-25-percent-by-2026-due-to-ai-chatbots-and-other-virtual-agents"/>
    <hyperlink ref="J32" r:id="rId31" display="https://www.appsflyer.com/resources/reports/apac-finance-marketing/"/>
    <hyperlink ref="J33" r:id="rId32" display="https://www.mckinsey.com/capabilities/growth-marketing-and-sales/our-insights/coping-with-the-big-switch-how-paid-loyalty-programs-can-help-bring-consumers-back-to-your-brand"/>
    <hyperlink ref="J34" r:id="rId33" display="https://www.salesforce.com/resources/research-reports/state-of-the-connected-customer/"/>
    <hyperlink ref="J35" r:id="rId34" display="https://thuvienphapluat.vn/van-ban/Bo-may-hanh-chinh/Luat-Bao-ve-du-lieu-ca-nhan-2025-so-91-2025-QH15-625628.aspx"/>
    <hyperlink ref="J36" r:id="rId35" display="https://vietnamese.googleblog.com/2026/03/ai-ang-thay-oi-cach-nguoi-tieu-dung-tim.html"/>
    <hyperlink ref="J37" r:id="rId36" display="https://www.appsflyer.com/resources/reports/app-marketing-vietnam-report/"/>
    <hyperlink ref="J38" r:id="rId37" display="https://hbr.org/1990/09/zero-defections-quality-comes-to-services"/>
    <hyperlink ref="J39" r:id="rId38" display="https://vng.com.vn"/>
    <hyperlink ref="J40" r:id="rId39" display="https://www.businesswire.com/news/home/20260810021050/en/Sea-Limited-Reports-Second-Quarter-2026-Results"/>
    <hyperlink ref="J41" r:id="rId40" display="https://economysea.withgoogle.com/"/>
    <hyperlink ref="J42" r:id="rId41" display="https://sensortower.com/blog/state-of-mobile-2026"/>
    <hyperlink ref="J43" r:id="rId42" display="https://blog.google/products/ads-commerce/"/>
    <hyperlink ref="J44" r:id="rId43" display="https://metric.vn"/>
    <hyperlink ref="J45" r:id="rId44" display="https://hbr.org/2017/09/the-surprising-power-of-online-experiments"/>
    <hyperlink ref="J46" r:id="rId45" display="https://economysea.withgoogle.com/"/>
    <hyperlink ref="J47" r:id="rId46" display="https://datareportal.com/reports/digital-2026-vietnam"/>
    <hyperlink ref="J48" r:id="rId47" display="https://www.adjust.com/resources/ebooks/mobile-app-trends-202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4" min="2" style="0" width="16"/>
  </cols>
  <sheetData>
    <row r="1" customFormat="false" ht="15" hidden="false" customHeight="false" outlineLevel="0" collapsed="false">
      <c r="A1" s="13" t="s">
        <v>20</v>
      </c>
      <c r="B1" s="13" t="s">
        <v>412</v>
      </c>
      <c r="C1" s="13" t="s">
        <v>30</v>
      </c>
      <c r="D1" s="13" t="s">
        <v>413</v>
      </c>
    </row>
    <row r="2" customFormat="false" ht="15" hidden="false" customHeight="false" outlineLevel="0" collapsed="false">
      <c r="A2" s="14" t="s">
        <v>134</v>
      </c>
      <c r="B2" s="14" t="n">
        <f aca="false">COUNTIF('Lịch đăng'!$D$2:$D$48,"*SEO*")</f>
        <v>4</v>
      </c>
      <c r="C2" s="14" t="n">
        <f aca="false">COUNTIFS('Lịch đăng'!$D$2:$D$48,"*SEO*",'Lịch đăng'!$O$2:$O$48,"Đã đăng")</f>
        <v>0</v>
      </c>
      <c r="D2" s="14" t="n">
        <f aca="false">B2-C2</f>
        <v>4</v>
      </c>
    </row>
    <row r="3" customFormat="false" ht="15" hidden="false" customHeight="false" outlineLevel="0" collapsed="false">
      <c r="A3" s="14" t="s">
        <v>31</v>
      </c>
      <c r="B3" s="14" t="n">
        <f aca="false">COUNTIF('Lịch đăng'!$D$2:$D$48,"*AIO*")</f>
        <v>8</v>
      </c>
      <c r="C3" s="14" t="n">
        <f aca="false">COUNTIFS('Lịch đăng'!$D$2:$D$48,"*AIO*",'Lịch đăng'!$O$2:$O$48,"Đã đăng")</f>
        <v>3</v>
      </c>
      <c r="D3" s="14" t="n">
        <f aca="false">B3-C3</f>
        <v>5</v>
      </c>
    </row>
    <row r="4" customFormat="false" ht="15" hidden="false" customHeight="false" outlineLevel="0" collapsed="false">
      <c r="A4" s="14" t="s">
        <v>86</v>
      </c>
      <c r="B4" s="14" t="n">
        <f aca="false">COUNTIF('Lịch đăng'!$D$2:$D$48,"*Performance*")</f>
        <v>11</v>
      </c>
      <c r="C4" s="14" t="n">
        <f aca="false">COUNTIFS('Lịch đăng'!$D$2:$D$48,"*Performance*",'Lịch đăng'!$O$2:$O$48,"Đã đăng")</f>
        <v>0</v>
      </c>
      <c r="D4" s="14" t="n">
        <f aca="false">B4-C4</f>
        <v>11</v>
      </c>
    </row>
    <row r="5" customFormat="false" ht="15" hidden="false" customHeight="false" outlineLevel="0" collapsed="false">
      <c r="A5" s="14" t="s">
        <v>117</v>
      </c>
      <c r="B5" s="14" t="n">
        <f aca="false">COUNTIF('Lịch đăng'!$D$2:$D$48,"*App Marketing*")</f>
        <v>8</v>
      </c>
      <c r="C5" s="14" t="n">
        <f aca="false">COUNTIFS('Lịch đăng'!$D$2:$D$48,"*App Marketing*",'Lịch đăng'!$O$2:$O$48,"Đã đăng")</f>
        <v>0</v>
      </c>
      <c r="D5" s="14" t="n">
        <f aca="false">B5-C5</f>
        <v>8</v>
      </c>
    </row>
    <row r="6" customFormat="false" ht="15" hidden="false" customHeight="false" outlineLevel="0" collapsed="false">
      <c r="A6" s="14" t="s">
        <v>108</v>
      </c>
      <c r="B6" s="14" t="n">
        <f aca="false">COUNTIF('Lịch đăng'!$D$2:$D$48,"*Growth Marketing*")</f>
        <v>7</v>
      </c>
      <c r="C6" s="14" t="n">
        <f aca="false">COUNTIFS('Lịch đăng'!$D$2:$D$48,"*Growth Marketing*",'Lịch đăng'!$O$2:$O$48,"Đã đăng")</f>
        <v>0</v>
      </c>
      <c r="D6" s="14" t="n">
        <f aca="false">B6-C6</f>
        <v>7</v>
      </c>
    </row>
    <row r="7" customFormat="false" ht="15" hidden="false" customHeight="false" outlineLevel="0" collapsed="false">
      <c r="A7" s="14" t="s">
        <v>58</v>
      </c>
      <c r="B7" s="14" t="n">
        <f aca="false">COUNTIF('Lịch đăng'!$D$2:$D$48,"*Digital Marketing*")</f>
        <v>11</v>
      </c>
      <c r="C7" s="14" t="n">
        <f aca="false">COUNTIFS('Lịch đăng'!$D$2:$D$48,"*Digital Marketing*",'Lịch đăng'!$O$2:$O$48,"Đã đăng")</f>
        <v>0</v>
      </c>
      <c r="D7" s="14" t="n">
        <f aca="false">B7-C7</f>
        <v>11</v>
      </c>
    </row>
    <row r="8" customFormat="false" ht="15" hidden="false" customHeight="false" outlineLevel="0" collapsed="false">
      <c r="A8" s="15" t="s">
        <v>414</v>
      </c>
      <c r="B8" s="15" t="n">
        <f aca="false">COUNTA('Lịch đăng'!$A$2:$A$48)</f>
        <v>47</v>
      </c>
      <c r="C8" s="15" t="n">
        <f aca="false">COUNTIF('Lịch đăng'!$O$2:$O$48,"Đã đăng")</f>
        <v>3</v>
      </c>
      <c r="D8" s="15" t="n">
        <f aca="false">B8-C8</f>
        <v>44</v>
      </c>
    </row>
    <row r="9" customFormat="false" ht="15" hidden="false" customHeight="false" outlineLevel="0" collapsed="false">
      <c r="A9" s="16" t="s">
        <v>415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0"/>
    <col collapsed="false" customWidth="true" hidden="false" outlineLevel="0" max="3" min="3" style="0" width="40"/>
    <col collapsed="false" customWidth="true" hidden="false" outlineLevel="0" max="4" min="4" style="0" width="50"/>
  </cols>
  <sheetData>
    <row r="1" customFormat="false" ht="15" hidden="false" customHeight="false" outlineLevel="0" collapsed="false">
      <c r="A1" s="17" t="s">
        <v>20</v>
      </c>
      <c r="B1" s="17" t="s">
        <v>416</v>
      </c>
      <c r="C1" s="17" t="s">
        <v>25</v>
      </c>
      <c r="D1" s="17" t="s">
        <v>417</v>
      </c>
    </row>
    <row r="2" customFormat="false" ht="23.85" hidden="false" customHeight="false" outlineLevel="0" collapsed="false">
      <c r="A2" s="18" t="s">
        <v>31</v>
      </c>
      <c r="B2" s="18" t="s">
        <v>418</v>
      </c>
      <c r="C2" s="18" t="s">
        <v>419</v>
      </c>
      <c r="D2" s="18" t="s">
        <v>420</v>
      </c>
    </row>
    <row r="3" customFormat="false" ht="23.85" hidden="false" customHeight="false" outlineLevel="0" collapsed="false">
      <c r="A3" s="18" t="s">
        <v>134</v>
      </c>
      <c r="B3" s="18" t="s">
        <v>421</v>
      </c>
      <c r="C3" s="18" t="s">
        <v>422</v>
      </c>
      <c r="D3" s="18" t="s">
        <v>423</v>
      </c>
    </row>
    <row r="4" customFormat="false" ht="23.85" hidden="false" customHeight="false" outlineLevel="0" collapsed="false">
      <c r="A4" s="18" t="s">
        <v>31</v>
      </c>
      <c r="B4" s="18" t="s">
        <v>424</v>
      </c>
      <c r="C4" s="18" t="s">
        <v>425</v>
      </c>
      <c r="D4" s="18" t="s">
        <v>426</v>
      </c>
    </row>
    <row r="5" customFormat="false" ht="15" hidden="false" customHeight="false" outlineLevel="0" collapsed="false">
      <c r="A5" s="18" t="s">
        <v>86</v>
      </c>
      <c r="B5" s="18" t="s">
        <v>427</v>
      </c>
      <c r="C5" s="18" t="s">
        <v>428</v>
      </c>
      <c r="D5" s="18" t="s">
        <v>429</v>
      </c>
    </row>
    <row r="6" customFormat="false" ht="15" hidden="false" customHeight="false" outlineLevel="0" collapsed="false">
      <c r="A6" s="18" t="s">
        <v>117</v>
      </c>
      <c r="B6" s="18" t="s">
        <v>430</v>
      </c>
      <c r="C6" s="18" t="s">
        <v>431</v>
      </c>
      <c r="D6" s="18" t="s">
        <v>432</v>
      </c>
    </row>
    <row r="7" customFormat="false" ht="35.05" hidden="false" customHeight="false" outlineLevel="0" collapsed="false">
      <c r="A7" s="18" t="s">
        <v>117</v>
      </c>
      <c r="B7" s="18" t="s">
        <v>433</v>
      </c>
      <c r="C7" s="18" t="s">
        <v>434</v>
      </c>
      <c r="D7" s="18" t="s">
        <v>435</v>
      </c>
    </row>
    <row r="8" customFormat="false" ht="23.85" hidden="false" customHeight="false" outlineLevel="0" collapsed="false">
      <c r="A8" s="18" t="s">
        <v>436</v>
      </c>
      <c r="B8" s="18" t="s">
        <v>437</v>
      </c>
      <c r="C8" s="18" t="s">
        <v>438</v>
      </c>
      <c r="D8" s="18" t="s">
        <v>439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2026-10-07T12:34:01Z</dcterms:created>
  <dc:creator>openpyxl</dc:creator>
  <dc:description/>
  <dc:language>en-US</dc:language>
  <cp:lastModifiedBy/>
  <dcterms:modified xsi:type="dcterms:W3CDTF">2026-10-07T12:34:01Z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