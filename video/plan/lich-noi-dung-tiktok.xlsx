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Hướng dẫn" sheetId="1" state="visible" r:id="rId3"/>
    <sheet name="Lịch đăng" sheetId="2" state="visible" r:id="rId4"/>
    <sheet name="Tổng quan" sheetId="3" state="visible" r:id="rId5"/>
  </sheets>
  <definedNames>
    <definedName function="false" hidden="true" localSheetId="1" name="_xlnm._FilterDatabase" vbProcedure="false">'Lịch đăng'!$A$1:$N$80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<sst xmlns="http://schemas.openxmlformats.org/spreadsheetml/2006/main" count="468" uniqueCount="234">
  <si>
    <t xml:space="preserve">Lịch nội dung TikTok Adtek</t>
  </si>
  <si>
    <t xml:space="preserve">Cập nhật</t>
  </si>
  <si>
    <t xml:space="preserve">07/10/2026. Kênh @adtek.growth.marketing. Mỗi ngày 1 video từ 07/10/2026. Giờ đăng gợi ý: thứ Hai đến thứ Sáu 12:00, thứ Bảy và Chủ nhật 09:00, đăng bù hoặc thử nghiệm 20:00.</t>
  </si>
  <si>
    <t xml:space="preserve">Chuẩn video</t>
  </si>
  <si>
    <t xml:space="preserve">Khoảng 1 phút, 6 cảnh. Câu đầu tiên là câu hỏi khơi tò mò. Mỗi video gộp 2 đến 4 số liệu mạnh về cùng một chủ đề. Cảnh cuối: Follow Adtek. Viết tiếng Việt tự nhiên như người Việt nói, không dịch thẳng từ tiếng Anh. Cột số liệu là ghi chú nội bộ, khi viết kịch bản phải viết lại cho tự nhiên.</t>
  </si>
  <si>
    <t xml:space="preserve">Nguyên tắc nguồn</t>
  </si>
  <si>
    <t xml:space="preserve">Mỗi số liệu lấy từ tổ chức phát hành gốc. Trước khi viết kịch bản phải mở link gốc kiểm tra lại, rồi chuyển trạng thái sang "Đã kiểm tra nguồn".</t>
  </si>
  <si>
    <t xml:space="preserve">Video theo mùa</t>
  </si>
  <si>
    <t xml:space="preserve">TikTok Shop 11/11; khách từ AI 22/11 (trước Black Friday); giữ khách 27/11 (Black Friday); quảng cáo sàn 09/12 (trước 12.12); Tết 09/12 đến 16/12.</t>
  </si>
  <si>
    <t xml:space="preserve">Slot trống (màu cam nhạt)</t>
  </si>
  <si>
    <t xml:space="preserve">Claude tự chọn chủ đề đang được quan tâm khi viết kịch bản mỗi thứ Bảy. Mỗi chủ đề vẫn phải gắn với dịch vụ Adtek và có số liệu từ nguồn gốc.</t>
  </si>
  <si>
    <t xml:space="preserve">Lưu ý khi dùng</t>
  </si>
  <si>
    <t xml:space="preserve">Cột chữ cam: số liệu cũ, số liệu nước ngoài, doanh nghiệp tự công bố, mẫu khảo sát nhỏ, hoặc nội dung pháp lý cần luật sư duyệt.</t>
  </si>
  <si>
    <t xml:space="preserve">STT</t>
  </si>
  <si>
    <t xml:space="preserve">Thứ</t>
  </si>
  <si>
    <t xml:space="preserve">Ngày đăng</t>
  </si>
  <si>
    <t xml:space="preserve">Dịch vụ</t>
  </si>
  <si>
    <t xml:space="preserve">Chủ đề video</t>
  </si>
  <si>
    <t xml:space="preserve">Câu hỏi mở đầu</t>
  </si>
  <si>
    <t xml:space="preserve">Số liệu chính</t>
  </si>
  <si>
    <t xml:space="preserve">Nguồn gốc</t>
  </si>
  <si>
    <t xml:space="preserve">Link nguồn gốc</t>
  </si>
  <si>
    <t xml:space="preserve">Kiểm tra nguồn</t>
  </si>
  <si>
    <t xml:space="preserve">Từ khóa người xem tìm</t>
  </si>
  <si>
    <t xml:space="preserve">Nhu cầu tìm kiếm (ước tính)</t>
  </si>
  <si>
    <t xml:space="preserve">Trạng thái</t>
  </si>
  <si>
    <t xml:space="preserve">Đã đăng</t>
  </si>
  <si>
    <t xml:space="preserve">AIO</t>
  </si>
  <si>
    <t xml:space="preserve">Có tóm tắt AI, người dùng ngừng bấm vào website</t>
  </si>
  <si>
    <t xml:space="preserve">Đã đăng với giọng v4 cũ và cảnh cuối cũ</t>
  </si>
  <si>
    <t xml:space="preserve">Được nhắc tên quan trọng hơn backlink</t>
  </si>
  <si>
    <t xml:space="preserve">Đừng tin ai hứa đưa bạn lên top ChatGPT</t>
  </si>
  <si>
    <t xml:space="preserve">Thứ Tư</t>
  </si>
  <si>
    <t xml:space="preserve">Digital Marketing</t>
  </si>
  <si>
    <t xml:space="preserve">Vốn FDI tăng 76%, sao nhà đầu tư chưa gọi bạn?</t>
  </si>
  <si>
    <t xml:space="preserve">Vốn FDI vào Việt Nam tăng 76%. Vậy tại sao nhà đầu tư vẫn chưa gọi cho khu công nghiệp của bạn?</t>
  </si>
  <si>
    <t xml:space="preserve">• FDI 9 tháng 28.5 lên 50.4 tỷ USD; người mua B2B dành 27% thời gian tự nghiên cứu, 17% gặp nhà cung cấp; Singapore và Hàn Quốc 61% vốn FDI mới; JETRO: top 3 lợi thế không có giá đất</t>
  </si>
  <si>
    <t xml:space="preserve">• Cục Thống kê; Gartner; Cổng Thông tin điện tử Chính phủ; JETRO FY2025</t>
  </si>
  <si>
    <t xml:space="preserve">https://www.jetro.go.jp</t>
  </si>
  <si>
    <t xml:space="preserve">• Đã dùng trong video; chưa có link bài cụ thể</t>
  </si>
  <si>
    <t xml:space="preserve">• Đăng sớm ngày 07/10/2026 (lịch gốc 09/10)
• Giọng v4 chưa huấn luyện; video trên trang hub</t>
  </si>
  <si>
    <t xml:space="preserve">marketing khu công nghiệp; thu hút fdi</t>
  </si>
  <si>
    <t xml:space="preserve">Thấp, giá trị cao</t>
  </si>
  <si>
    <t xml:space="preserve">Thứ Năm</t>
  </si>
  <si>
    <t xml:space="preserve">Khách hàng của bạn đang hỏi AI</t>
  </si>
  <si>
    <t xml:space="preserve">Khi khách hỏi AI nên mua gì, thương hiệu của bạn có được nhắc tên không?</t>
  </si>
  <si>
    <t xml:space="preserve">• 78.4% người tiêu dùng Gen Y, Gen Z đã dùng AI khi mua sắm; dùng để tìm hiểu sản phẩm 44.4%, gợi ý 23.5%, so sánh 19.8%
• 81% người Việt tương tác với AI mỗi ngày (Indonesia 80%, Thái Lan 76%, Singapore 65%); 42% lo bảo mật khi để AI làm thay (Đông Nam Á 50%); 96% sẵn sàng chia sẻ dữ liệu với AI</t>
  </si>
  <si>
    <t xml:space="preserve">• Vietnam Report, khảo sát người tiêu dùng ngành bán lẻ, 08/2026
• Google, Temasek, Bain &amp; Company, e-Conomy SEA 2025, trang 143 (khảo sát Google và Milieu, 09/2025, 7,200 người)</t>
  </si>
  <si>
    <t xml:space="preserve">https://vietnamreport.net.vn/Top-10-Cong-ty-uy-tin-nganh-Ban-le-nam-2026-12576-1006.html
https://services.google.com/fh/files/misc/e_conomy_sea_2025_report_combined.pdf</t>
  </si>
  <si>
    <t xml:space="preserve">• Đã mở trang gốc, khớp số liệu (08/10/2026)
• Đã mở báo cáo gốc; Thái Lan là 76% (bản trước ghi 74% là sai)</t>
  </si>
  <si>
    <t xml:space="preserve">• Đã đăng ngày 08/10/2026, bản cũ (900 triệu người dùng ChatGPT). Bản viết lại bằng số liệu Việt Nam không dùng vì trùng chủ đề</t>
  </si>
  <si>
    <t xml:space="preserve">chatgpt; ai mode; người việt dùng ai</t>
  </si>
  <si>
    <t xml:space="preserve">Cao</t>
  </si>
  <si>
    <t xml:space="preserve">Growth Marketing</t>
  </si>
  <si>
    <t xml:space="preserve">Khách bỏ đi ở phút cuối</t>
  </si>
  <si>
    <t xml:space="preserve">Vì sao khách bỏ hàng vào giỏ rồi lại không thanh toán?</t>
  </si>
  <si>
    <t xml:space="preserve">• 89.5% so giá nhiều nơi trước khi mua; 39.5% hoãn mua chờ khuyến mãi
• 1/2 bỏ giỏ khi gặp phí phát sinh; 49% bỏ nếu shop chưa có đánh giá; 46% nếu đổi trả không rõ; 53% coi trọng giao đúng hẹn hơn phí ship rẻ (45%); 7/10 sẵn sàng chi nhiều hơn cho shop dịch vụ đáng tin; 1/3 ngừng mua sau trải nghiệm tệ</t>
  </si>
  <si>
    <t xml:space="preserve">• Vietnam Report, khảo sát người tiêu dùng ngành bán lẻ, 08/2026
• Milieu Insight, Vietnam's online shoppers demand speed and reliability in 2025, 09/2025
• Baymard Institute (số Mỹ, chỉ trong phần Làm gì ngay); Klaviyo 2026</t>
  </si>
  <si>
    <t xml:space="preserve">https://vietnamreport.net.vn/Top-10-Cong-ty-uy-tin-nganh-Ban-le-nam-2026-12576-1006.html
https://www.mili.eu/vn/insights/vietnams-online-shoppers-demand-speed-and-reliability-in-2025
https://baymard.com/lists/cart-abandonment-rate</t>
  </si>
  <si>
    <t xml:space="preserve">• Đã mở trang gốc, khớp số liệu (08/10/2026)</t>
  </si>
  <si>
    <t xml:space="preserve">• Đã đăng ngày 08/10/2026, bản cũ (7/10 giỏ hàng, số Baymard). Bản viết lại bằng số liệu Việt Nam không dùng vì trùng chủ đề</t>
  </si>
  <si>
    <t xml:space="preserve">bỏ giỏ hàng; tăng tỷ lệ chuyển đổi; cá nhân hóa</t>
  </si>
  <si>
    <t xml:space="preserve">Thứ Sáu</t>
  </si>
  <si>
    <t xml:space="preserve">Performance, Digital</t>
  </si>
  <si>
    <t xml:space="preserve">Khách muốn nhắn tin trước khi mua</t>
  </si>
  <si>
    <t xml:space="preserve">Vì sao 8 trên 10 khách muốn nhắn tin với shop trước khi bấm mua?</t>
  </si>
  <si>
    <t xml:space="preserve">• 82.8% người Việt chọn nhắn tin để liên lạc doanh nghiệp; 61.2% nhắn tin với doanh nghiệp mỗi ngày; 85% mua sắm dịp Tết, 44% tham gia 12.12
• 81.3 triệu người dùng hằng tháng (quý 2/2026); hơn 2.2 tỷ tin nhắn mỗi ngày; ~30,000 Official Account (+24%)</t>
  </si>
  <si>
    <t xml:space="preserve">• Meta, nghiên cứu do Kantar và Ipsos thực hiện (khảo sát 11/2025)
• VNG, kết quả kinh doanh quý 2/2026</t>
  </si>
  <si>
    <t xml:space="preserve">https://www.facebook.com/business/news
https://vng.com.vn</t>
  </si>
  <si>
    <t xml:space="preserve">• Chưa có link bài cụ thể; Chưa mở được trang gốc (mạng chặn), đối chiếu qua Việt Nam News
• Chưa có link bài cụ thể; Chưa mở được trang gốc (mạng chặn), đối chiếu qua VietnamPlus</t>
  </si>
  <si>
    <t xml:space="preserve">• Chưa có URL trang gốc của Meta, cần tìm trước khi dựng
• Doanh nghiệp tự công bố
• Giọng v4 chưa huấn luyện; video trên trang hub
• Nằm trong Drafts của TikTok, dời sang 09/10
• Xuất lại 09/10 theo hướng A và C
• Đã nhắc</t>
  </si>
  <si>
    <t xml:space="preserve">quảng cáo tin nhắn; zalo oa; chốt đơn inbox</t>
  </si>
  <si>
    <t xml:space="preserve">Đã có video</t>
  </si>
  <si>
    <t xml:space="preserve">Thứ Bảy</t>
  </si>
  <si>
    <t xml:space="preserve">Growth, Performance</t>
  </si>
  <si>
    <t xml:space="preserve">Khách so giá, chờ sale (đố số liệu)</t>
  </si>
  <si>
    <t xml:space="preserve">Đoán thử: bao nhiêu % người Việt so giá ở nhiều nơi trước khi mua?</t>
  </si>
  <si>
    <t xml:space="preserve">• 89.5% so giá nhiều nơi trước khi mua; 39.5% hoãn mua chờ khuyến mãi
• 65% mua online mỗi tuần (Đông Nam Á 50%); lý do mua: giảm giá 64%, ship rẻ 55%, nhiều lựa chọn 52% (khu vực 47%)</t>
  </si>
  <si>
    <t xml:space="preserve">• Vietnam Report, khảo sát người tiêu dùng ngành bán lẻ, 08/2026
• Milieu Insight, 09/2025</t>
  </si>
  <si>
    <t xml:space="preserve">https://vietnamreport.net.vn/Top-10-Cong-ty-uy-tin-nganh-Ban-le-nam-2026-12576-1006.html
https://www.mili.eu/vn/insights/vietnams-online-shoppers-demand-speed-and-reliability-in-2025</t>
  </si>
  <si>
    <t xml:space="preserve">• Video mẫu kiểu đố số liệu (scripts/khach-so-gia-cho-sale/1.json)
• Giọng v4 chưa huấn luyện; video trên trang hub
• Đã nhắc</t>
  </si>
  <si>
    <t xml:space="preserve">so sánh giá; săn sale; khuyến mãi</t>
  </si>
  <si>
    <t xml:space="preserve">Chủ nhật</t>
  </si>
  <si>
    <t xml:space="preserve">Digital, Performance</t>
  </si>
  <si>
    <t xml:space="preserve">Thuê KOL nổi tiếng là khách sẽ tin? (phá hiểu lầm)</t>
  </si>
  <si>
    <t xml:space="preserve">"Cứ thuê KOL nổi tiếng là khách sẽ tin và chốt đơn." Đúng hay sai?</t>
  </si>
  <si>
    <t xml:space="preserve">• 54% tin đánh giá của người dùng thường hơn KOL, chỉ 13% nghiêng về người nổi tiếng
• 78% bị đánh giá online ảnh hưởng mạnh tới lựa chọn (87% ở tuổi 20)
• Đánh giá đáng tin: có ảnh/video 69%, nội dung chi tiết 60%, số sao 51%; dưới 3.6 sao bị loại; 74% cần từ 50 đánh giá
• 67% tự tin nhận ra đánh giá giả</t>
  </si>
  <si>
    <t xml:space="preserve">• Q&amp;Me, How Vietnamese consumers trust online reviews, khoảng 09/2026, 200 người 20-49 tuổi tại Hà Nội và TP.HCM
• Việc làm ngay: Google Business Profile Help (xin đánh giá bằng link/QR, cấm tặng quà đổi đánh giá, trả lời đánh giá); TikTok Ads Help (Spark Ads dùng video của khách, nhà sáng tạo nhỏ)</t>
  </si>
  <si>
    <t xml:space="preserve">https://qandme.net/en/report/how-vietnamese-consumers-trust-online-reviews.html
https://support.google.com/business/answer/3474122
https://support.google.com/business/answer/3474050
https://ads.tiktok.com/help/article/spark-ads</t>
  </si>
  <si>
    <t xml:space="preserve">• Đã mở trang gốc, khớp số liệu (09/10/2026). Báo cáo đầy đủ cần đăng ký, chỉ kiểm tra phần tóm tắt</t>
  </si>
  <si>
    <t xml:space="preserve">• Kiểu phá hiểu lầm, đóng dấu SAI
• Mẫu nhỏ (200 người, chỉ HN và HCM), phải ghi rõ trên video
• Ngày phát hành ước tính cuối 09/2026 Đã nhắc
• Ngày 11/10 đăng thêm video "Giá quảng cáo Meta +12%, có nên giao hết cho Advantage+?" (vốn xếp lịch 14/10)</t>
  </si>
  <si>
    <t xml:space="preserve">kol; review sản phẩm; đánh giá 5 sao; chốt đơn</t>
  </si>
  <si>
    <t xml:space="preserve">Thứ Hai</t>
  </si>
  <si>
    <t xml:space="preserve">Performance, Growth</t>
  </si>
  <si>
    <t xml:space="preserve">Chưa tới 3% gian hàng nắm 1/3 doanh số sàn</t>
  </si>
  <si>
    <t xml:space="preserve">Trên Shopee, TikTok Shop, Lazada, cứ 100 gian hàng thì chưa tới 3 shop Mall. Họ đang nắm bao nhiêu phần doanh số?</t>
  </si>
  <si>
    <t xml:space="preserve">• Shop Mall: 2.79% số gian hàng nhưng 34.2% doanh số (Shopee, Lazada, TikTok Shop, 6 tháng 2026); số shop Mall giảm 6%, doanh số tăng 54%
• 4 sàn đạt 291.6 nghìn tỷ đồng, tăng 44.11%; 613.8 nghìn shop có đơn
• Thị phần GMV: Shopee 54.5% (+15%), TikTok Shop 43.4% (+27%); TikTok Shop nắm 56.2% ngành thời trang
• Hàng trên 1 triệu đồng chiếm 18.2% doanh số (+3.1 điểm)</t>
  </si>
  <si>
    <t xml:space="preserve">• Metric, Báo cáo TMĐT Việt Nam 6 tháng đầu năm 2026, 29/07/2026
• YouNet ECI, Toàn cảnh TMĐT Việt Nam nửa đầu năm 2026, 12/08/2026
• Việc làm ngay: TikTok Shop Seller University (Mall, lịch 11.11 từ 03-12/11 và 12.12, Cộng tác mở); Shopee Help (tiếp thị liên kết trả theo đơn)</t>
  </si>
  <si>
    <t xml:space="preserve">https://metric.vn/insights/metric-bao-cao-thuong-mai-dien-tu-viet-nam-6-thang-dau-nam-2026/
https://www.younetgroup.com/vi/bao-cao-toan-canh-tmdt-viet-nam-nua-dau-nam-2026
https://seller-vn.tiktok.com/university/essay?knowledge_id=6210902215264001</t>
  </si>
  <si>
    <t xml:space="preserve">• Đã mở trang gốc, khớp số liệu (09/10/2026)</t>
  </si>
  <si>
    <t xml:space="preserve">• Metric (doanh số, +44%) và YouNet (GMV, +19%) đo khác nhau: không đặt chung một biểu đồ
• Tỷ lệ Mall tính trên 3 sàn, không phải 4
• Đã nhắc</t>
  </si>
  <si>
    <t xml:space="preserve">shopee mall; tiktok shop mall; bán hàng trên sàn 2026</t>
  </si>
  <si>
    <t xml:space="preserve">Thứ Ba</t>
  </si>
  <si>
    <t xml:space="preserve">Quảng cáo nền tảng nào tiếp cận nhiều người Việt nhất? (đố số liệu)</t>
  </si>
  <si>
    <t xml:space="preserve">Đoán thử: quảng cáo trên nền tảng nào tiếp cận nhiều người Việt nhất? A. TikTok, B. Facebook, C. YouTube</t>
  </si>
  <si>
    <t xml:space="preserve">• Lượng người quảng cáo có thể tiếp cận: Facebook 79.0 triệu, TikTok 76.1 triệu (18+), YouTube 62.1 triệu, Messenger 57.8 triệu (cuối 2025)
• Thời gian dùng mỗi ngày (Android, 08/2025): TikTok 1 giờ 56 phút, YouTube 1 giờ 21 phút, Facebook 1 giờ 11 phút
• 84.9% người dùng internet tìm thông tin thương hiệu trên mạng xã hội
• Zalo 81.3 triệu người dùng tháng (quý 2/2026, VNG): là số người dùng, không so trực tiếp với số tiếp cận quảng cáo</t>
  </si>
  <si>
    <t xml:space="preserve">• DataReportal, Digital 2026: Vietnam (số liệu đến 10/2025)
• VNG, Snapshot quý 2/2026
• Việc làm ngay: TikTok Spark Ads; Google Ads Demand Gen (YouTube Shorts, Lookalike); Zalo Business Message</t>
  </si>
  <si>
    <t xml:space="preserve">https://datareportal.com/reports/digital-2026-vietnam
https://cms-investor-cdn.vng.com.vn/VNG_Snapshot_Q2_2026_EN_8dc74b151d.pdf
https://support.google.com/google-ads/answer/13695777
https://zalo.solutions/business-message</t>
  </si>
  <si>
    <t xml:space="preserve">• Kiểu đố số liệu, ảnh bìa không lộ đáp án
• Số tiếp cận quảng cáo không phải số người dùng thật, có thể trùng; ghi rõ
• Tránh lặp quảng cáo Click-to-Messenger (đã nói trong video nhắn tin 09/10)
• Đã nhắc</t>
  </si>
  <si>
    <t xml:space="preserve">quảng cáo facebook hay tiktok; chạy quảng cáo youtube; zalo ads</t>
  </si>
  <si>
    <t xml:space="preserve">Livestream: chỉ 13% khách mua ngẫu hứng</t>
  </si>
  <si>
    <t xml:space="preserve">Livestream sống nhờ khách mua ngẫu hứng?</t>
  </si>
  <si>
    <t xml:space="preserve">• Chỉ 13% mua ngẫu hứng; 47% đang cân nhắc; 40% định mua từ trước
• 650,000 người bán và cửa hàng bán qua video (+60%), 1.3 tỷ giao dịch
• 50% chủ yếu mua từ tài khoản chính thức của thương hiệu
• Luật TMĐT 122/2025 (từ 01/07/2026): xác thực người live, lưu buổi live 1 năm; Nghị định 87/2026: người có ảnh hưởng giới thiệu hàng chưa dùng phạt 80-100 triệu, tổ chức gấp đôi</t>
  </si>
  <si>
    <t xml:space="preserve">• Q&amp;Me, Live commerce, 04/2026, 245 người (mẫu nhỏ)
• e-Conomy SEA 2025, trang 144
• Luật Thương mại điện tử 122/2025/QH15; Nghị định 87/2026/NĐ-CP (vanban.chinhphu.vn)
• Việc làm ngay: TikTok Shop Seller University</t>
  </si>
  <si>
    <t xml:space="preserve">https://qandme.net/vi/baibaocao/xu-huong-live-commerce-va-hanh-vi-nguoi-mua-viet-nam.html
https://services.google.com/fh/files/misc/e_conomy_sea_2025_report_combined.pdf</t>
  </si>
  <si>
    <t xml:space="preserve">• Đã mở trang gốc (10/10/2026)</t>
  </si>
  <si>
    <t xml:space="preserve">• Nội dung pháp lý, nên nhờ luật sư duyệt câu chữ
• Mẫu Q&amp;Me nhỏ, ghi rõ trên video</t>
  </si>
  <si>
    <t xml:space="preserve">livestream bán hàng; luật livestream; kol bị phạt</t>
  </si>
  <si>
    <t xml:space="preserve">App Marketing</t>
  </si>
  <si>
    <t xml:space="preserve">Thị trường app Việt Nam đã chạm đỉnh?</t>
  </si>
  <si>
    <t xml:space="preserve">Thị trường app Việt Nam đã chạm đỉnh? Tiền quảng cáo app nên đổ vào đâu?</t>
  </si>
  <si>
    <t xml:space="preserve">• Lượt cài +136% từ 2018, 2.17 tỷ năm 2024, giảm nhẹ 2025
• iOS 22% lên 33% (2017-2025); app tài chính iOS 54.5%
• Quý 2/2026 ngân sách kéo người dùng Android: tài chính +153%, giải trí +194%, game -46%</t>
  </si>
  <si>
    <t xml:space="preserve">• AppsFlyer, State of App Marketing in Vietnam 2025, 11/2025
• AppsFlyer, State of Marketing in APAC 2026, 09/2026
• Việc làm ngay: Apple custom product pages, Play Console custom store listings, Google Ads App campaigns engagement, AppsFlyer Cohort</t>
  </si>
  <si>
    <t xml:space="preserve">https://www.appsflyer.com/resources/reports/app-marketing-vietnam-report/
https://www.appsflyer.com/resources/reports/state-of-marketing-apac-report/</t>
  </si>
  <si>
    <t xml:space="preserve">• Biểu đồ xu hướng dùng chỉ số quy đổi của AppsFlyer, đã ghi rõ
• Số liệu là lượt cài AppsFlyer đo được, không phải toàn thị trường</t>
  </si>
  <si>
    <t xml:space="preserve">thị trường app việt nam; quảng cáo app; iphone hay android</t>
  </si>
  <si>
    <t xml:space="preserve">Trung bình</t>
  </si>
  <si>
    <t xml:space="preserve">Bao nhiêu lượt cài app là gian lận? (đố số liệu)</t>
  </si>
  <si>
    <t xml:space="preserve">Cứ 100 lượt cài app ở Việt Nam, bao nhiêu lượt là gian lận? A 5, B 20, C 50</t>
  </si>
  <si>
    <t xml:space="preserve">• Việt Nam 20% (quý 1/2026), từ 29%; Indonesia 17% xuống 13%
• App tài chính Việt Nam 46% vs 22% châu Á Thái Bình Dương (2025)
• Toàn cầu: 52% lượt cài gian lận nằm ở nguồn tự nhiên, affiliate gần 40%</t>
  </si>
  <si>
    <t xml:space="preserve">• AppsFlyer, State of Fraud for Marketers 2026, 06/2026
• AppsFlyer, State of Finance for Marketers APAC 2026
• Việc làm ngay: AppsFlyer Protect360 và Validation Rules, Adjust Fraud Prevention, Apple AdAttributionKit</t>
  </si>
  <si>
    <t xml:space="preserve">https://www.appsflyer.com/resources/reports/state-fraud-marketers-report/
https://www.appsflyer.com/resources/reports/apac-finance-marketing-report/</t>
  </si>
  <si>
    <t xml:space="preserve">• Kiểu đố số liệu, ảnh bìa không lộ đáp án
• Tỷ lệ 20% là toàn thị trường, có thể chỉ Android; mức giảm một phần do một đường dây gian lận bị chặn</t>
  </si>
  <si>
    <t xml:space="preserve">gian lận quảng cáo; cpi là gì; marketing app tài chính</t>
  </si>
  <si>
    <t xml:space="preserve">App Marketing, Digital</t>
  </si>
  <si>
    <t xml:space="preserve">Người Việt sống trong app 127 tỷ giờ</t>
  </si>
  <si>
    <t xml:space="preserve">Một năm, người Việt dành bao nhiêu giờ trong app?</t>
  </si>
  <si>
    <t xml:space="preserve">• 127 tỷ giờ dùng app năm 2025 (thế giới khoảng 3.6 giờ/người/ngày)
• Mỗi lần mở app giải trí 24.46 phút (quý 1/2026), Đông Nam Á 14.28 phút
• App giải trí quý 1/2026: lượt cài +32%, số lần mở +76%
• Chỉ 8% quay lại ngày hôm sau, ngày 30 còn 1%</t>
  </si>
  <si>
    <t xml:space="preserve">• Adjust, Mobile app trends spotlight: Vietnam 2026 (PDF 26/05/2026)
• Sensor Tower, State of Mobile 2026
• Việc làm ngay: GA4 Cohort exploration, Firebase In-App Messaging, Google Ads App campaigns engagement, Apple In-App Events</t>
  </si>
  <si>
    <t xml:space="preserve">https://www.adjust.com/blog/vietnam-app-trends-2026/
https://sensortower.com/blog/state-of-mobile-2026</t>
  </si>
  <si>
    <t xml:space="preserve">• adjust.com chặn truy cập tự động (lỗi 429); đã đọc file PDF gốc của Adjust qua bản đăng lại, khớp số liệu</t>
  </si>
  <si>
    <t xml:space="preserve">• Số liệu chỉ gồm app Adjust đo được</t>
  </si>
  <si>
    <t xml:space="preserve">thời gian dùng điện thoại; tiktok việt nam; app ai</t>
  </si>
  <si>
    <t xml:space="preserve">Digital, Growth</t>
  </si>
  <si>
    <t xml:space="preserve">Mua data khách hàng để chạy quảng cáo: rủi ro tới đâu?</t>
  </si>
  <si>
    <t xml:space="preserve">Mua một tệp data khách hàng để chạy quảng cáo, rủi ro lớn nhất là gì?</t>
  </si>
  <si>
    <t xml:space="preserve">• Luật 91/2025/QH15, hiệu lực 01/01/2026: mua bán dữ liệu phạt tới 10 lần khoản thu; chuyển dữ liệu ra nước ngoài trái quy định tới 5% doanh thu; vi phạm khác tới 3 tỷ đồng
• 72% tin công ty ít hơn 1 năm trước; 65% thấy doanh nghiệp bất cẩn với dữ liệu; gần 75% muốn biết đang nói chuyện với AI hay người</t>
  </si>
  <si>
    <t xml:space="preserve">• Quốc hội, Luật Bảo vệ dữ liệu cá nhân 91/2025/QH15; Nghị định 356/2025/NĐ-CP
• Salesforce, State of the AI Connected Customer (bản 7), 2024</t>
  </si>
  <si>
    <t xml:space="preserve">https://thuvienphapluat.vn/van-ban/Bo-may-hanh-chinh/Luat-Bao-ve-du-lieu-ca-nhan-2025-so-91-2025-QH15-625628.aspx
https://www.salesforce.com/resources/research-reports/state-of-the-connected-customer/</t>
  </si>
  <si>
    <t xml:space="preserve">• Chưa mở được trang gốc (mạng chặn), đối chiếu qua VnEconomy, Báo Đầu tư, PwC Việt Nam
• Chưa mở được trang gốc (mạng chặn), đối chiếu qua salesforce.com/news</t>
  </si>
  <si>
    <t xml:space="preserve">• Nội dung pháp lý, nên nhờ luật sư duyệt kịch bản
• Khảo sát 2024. Hợp đăng cạnh video luật dữ liệu</t>
  </si>
  <si>
    <t xml:space="preserve">luật bảo vệ dữ liệu cá nhân; data khách hàng</t>
  </si>
  <si>
    <t xml:space="preserve">Ý tưởng</t>
  </si>
  <si>
    <t xml:space="preserve">Bản đồ: kinh tế số Việt Nam tăng 17%, nhanh thứ 2 Đông Nam Á</t>
  </si>
  <si>
    <t xml:space="preserve">Kinh tế số Việt Nam tăng nhanh hay chậm so với láng giềng? Năm 2025, con số là 17%.</t>
  </si>
  <si>
    <t xml:space="preserve">Tăng trưởng GMV kinh tế số 2025: Malaysia 19%, Việt Nam 17%, Thái Lan 16%, Philippines 16%, Indonesia 14%, Singapore 7%; Việt Nam 39 tỷ USD (2025, ước tính)</t>
  </si>
  <si>
    <t xml:space="preserve">Google, Temasek, Bain &amp; Company, e-Conomy SEA 2025</t>
  </si>
  <si>
    <t xml:space="preserve">https://services.google.com/fh/files/misc/e_conomy_sea_2025_report_combined.pdf</t>
  </si>
  <si>
    <t xml:space="preserve">Đã mở báo cáo gốc (trang 84 đến 140)</t>
  </si>
  <si>
    <t xml:space="preserve">Số 2025 là ước tính, quy đổi từ 6 tháng đầu năm. Dạng bản đồ.</t>
  </si>
  <si>
    <t xml:space="preserve">kinh tế số việt nam; digital 2026</t>
  </si>
  <si>
    <t xml:space="preserve">Performance</t>
  </si>
  <si>
    <t xml:space="preserve">Chữ động: đừng chạy sale 11.11 nếu chưa biết 3 điều này</t>
  </si>
  <si>
    <t xml:space="preserve">Chỉ còn 3 tuần nữa là 11.11, bạn định chạy sale mà chưa chuẩn bị gì sao?</t>
  </si>
  <si>
    <t xml:space="preserve">10.10.2025: 4 sàn bán 6,608 tỷ đồng, 376,000 gian hàng; khách thêm vào giỏ sớm 3 đến 5 ngày; Meta cần khoảng 50 kết quả trong 1 tuần; Google Ads điều chỉnh thời vụ cho sale 1 đến 7 ngày</t>
  </si>
  <si>
    <t xml:space="preserve">Metric; Meta Business Help Center; Google Ads Help</t>
  </si>
  <si>
    <t xml:space="preserve">https://metric.vn/insights/4-nhom-san-pham-ban-chay-nhat-tren-san-sau-ngay-doi-10-10/</t>
  </si>
  <si>
    <t xml:space="preserve">Đã mở trang gốc</t>
  </si>
  <si>
    <t xml:space="preserve">'Gấp hơn 5 lần' và 'gần 29%' là phép tính từ số Metric. Dạng chữ động.</t>
  </si>
  <si>
    <t xml:space="preserve">SEO</t>
  </si>
  <si>
    <t xml:space="preserve">Đếm ngược: top 5 từ khóa tăng mạnh nhất trên Google năm 2025</t>
  </si>
  <si>
    <t xml:space="preserve">Năm 2025, người Việt tìm gì trên Google tăng mạnh nhất? Đoán thử hạng 1 rồi comment trước nhé.</t>
  </si>
  <si>
    <t xml:space="preserve">Xu hướng chung 2025: 5 Pixverse AI, 4 Gemini, 3 Phụ nữ trong các ngành STEM, 2 Chat GPT, 1 Deep Seek</t>
  </si>
  <si>
    <t xml:space="preserve">Google Year in Search 2025 Việt Nam</t>
  </si>
  <si>
    <t xml:space="preserve">https://trends.withgoogle.com/year-in-search/2025/vn/</t>
  </si>
  <si>
    <t xml:space="preserve">Đã mở trang gốc và trang phương pháp</t>
  </si>
  <si>
    <t xml:space="preserve">Xếp theo mức tăng, không phải lượt tìm. Đăng trước khi có bản 2026 (đầu tháng 12). Dạng đếm ngược.</t>
  </si>
  <si>
    <t xml:space="preserve">Slot trống: chủ đề trend Claude tự chọn khi viết kịch bản thứ Bảy</t>
  </si>
  <si>
    <t xml:space="preserve">Cần chủ đề</t>
  </si>
  <si>
    <t xml:space="preserve">Biểu đồ đua: Shopee và TikTok Shop, khoảng cách 22 điểm còn 11 điểm</t>
  </si>
  <si>
    <t xml:space="preserve">Shopee còn giữ ngôi số 1 được bao lâu? Năm 2024, Shopee chiếm 64% doanh số các sàn, TikTok Shop 29%.</t>
  </si>
  <si>
    <t xml:space="preserve">Thị phần doanh số tháng 1 đến 9/2025: Shopee 59% xuống 54%, TikTok Shop 37% lên 43%; năm 2024: Shopee 64%, TikTok Shop 29%</t>
  </si>
  <si>
    <t xml:space="preserve">Metric</t>
  </si>
  <si>
    <t xml:space="preserve">https://metric.vn/insights/metric-bao-cao-thi-truong-san-thuong-mai-dien-tu-viet-nam-quy-3-2025/</t>
  </si>
  <si>
    <t xml:space="preserve">Đã mở báo cáo và biểu đồ gốc</t>
  </si>
  <si>
    <t xml:space="preserve">Không có lượt vượt mặt. Cách video shop Mall (12/10) hơn 2 tuần. Dạng biểu đồ đua.</t>
  </si>
  <si>
    <t xml:space="preserve">TikTok Shop hay Shopee?</t>
  </si>
  <si>
    <t xml:space="preserve">Shopee hay TikTok Shop: tiền của người mua đang chảy về đâu?</t>
  </si>
  <si>
    <t xml:space="preserve">• 2025: TikTok Shop 41.31% (2024: 29%), Shopee 56.04% (2024: 64%); 4 sàn đạt 429.7 nghìn tỷ đồng (+34.75%); số shop có đơn giảm 7.43%
• 6 tháng 2026: 4 sàn đạt 291.6 nghìn tỷ đồng (+44.11%); 2,186.7 triệu sản phẩm (+13.67%); ~1,611 tỷ đồng mỗi ngày
• Shop Mall chiếm 2.79% số shop nhưng 34.2% doanh thu Shopee, Lazada, TikTok Shop (6 tháng 2026); doanh số nhóm Mall +54%</t>
  </si>
  <si>
    <t xml:space="preserve">• Metric.vn, Báo cáo thị trường TMĐT Việt Nam 2025
• Metric.vn, Báo cáo TMĐT 6 tháng đầu 2026, 07/2026
• Metric.vn, Báo cáo TMĐT 6 tháng đầu 2026</t>
  </si>
  <si>
    <t xml:space="preserve">https://metric.vn
https://metric.vn
https://metric.vn</t>
  </si>
  <si>
    <t xml:space="preserve">• Link trang chủ Metric; Chưa mở được trang gốc (mạng chặn), đối chiếu qua Đại biểu Nhân dân, Báo Pháp luật
• Link trang chủ Metric; Chưa mở được trang gốc (mạng chặn), đối chiếu qua VnEconomy, VTC News
• Link trang chủ Metric; Chưa mở được trang gốc (mạng chặn), đối chiếu qua VnEconomy, Người Quan Sát</t>
  </si>
  <si>
    <t xml:space="preserve">• Đăng đúng ngày 11.11
• Dữ liệu Việt Nam
• Dữ liệu Việt Nam</t>
  </si>
  <si>
    <t xml:space="preserve">tiktok shop; shopee hay tiktok shop</t>
  </si>
  <si>
    <t xml:space="preserve">AIO, Performance</t>
  </si>
  <si>
    <t xml:space="preserve">Khách đến từ AI mua nhiều hơn</t>
  </si>
  <si>
    <t xml:space="preserve">Khách đến từ ChatGPT mua nhiều hơn hay ít hơn khách từ Google?</t>
  </si>
  <si>
    <t xml:space="preserve">• Traffic từ AI vào web bán lẻ quý 1/2026 tăng 393%; chuyển đổi cao hơn 42% (03/2026), từ mức thấp hơn 38% (03/2025)
• Khách từ AI search có giá trị gấp 4.4 lần khách organic</t>
  </si>
  <si>
    <t xml:space="preserve">• Adobe Digital Insights, Quarterly AI Traffic Report, 04/2026
• Semrush, AI search SEO traffic study, 09/06/2025</t>
  </si>
  <si>
    <t xml:space="preserve">https://business.adobe.com/blog/ai-traffic-surge-retail-sites-not-machine-readable
https://www.semrush.com/blog/ai-search-seo-traffic-study/</t>
  </si>
  <si>
    <t xml:space="preserve">• Chưa mở được trang gốc (mạng chặn), đối chiếu qua Decrypt
• Chưa mở được trang gốc, đối chiếu qua MarTech</t>
  </si>
  <si>
    <t xml:space="preserve">• Dữ liệu Mỹ. Nên đăng trước Black Friday 27/11</t>
  </si>
  <si>
    <t xml:space="preserve">traffic từ chatgpt; bán hàng bằng ai</t>
  </si>
  <si>
    <t xml:space="preserve">Đang tăng</t>
  </si>
  <si>
    <t xml:space="preserve">Sau Black Friday, giữ khách thế nào?</t>
  </si>
  <si>
    <t xml:space="preserve">Sau Black Friday, làm sao để khách quay lại mua lần hai?</t>
  </si>
  <si>
    <t xml:space="preserve">• Tăng 5% tỷ lệ giữ chân, lợi nhuận tăng 25% đến 95%; ngân hàng +85%, môi giới bảo hiểm +50%, dịch vụ ô tô +30%
• Thành viên loyalty trả phí có khả năng chi nhiều hơn 60%, chương trình miễn phí chỉ 30%</t>
  </si>
  <si>
    <t xml:space="preserve">• Reichheld và Sasser (Bain &amp; Company), Harvard Business Review, 1990
• McKinsey &amp; Company, paid loyalty programs, 2020</t>
  </si>
  <si>
    <t xml:space="preserve">https://hbr.org/1990/09/zero-defections-quality-comes-to-services
https://www.mckinsey.com/capabilities/growth-marketing-and-sales/our-insights/coping-with-the-big-switch-how-paid-loyalty-programs-can-help-bring-consumers-back-to-your-brand</t>
  </si>
  <si>
    <t xml:space="preserve">• Chưa mở được trang gốc (mạng chặn), đối chiếu qua Oxford University Press
• Chưa mở được trang gốc (mạng chặn), đối chiếu qua đoạn trích mckinsey.com</t>
  </si>
  <si>
    <t xml:space="preserve">• Nghiên cứu kinh điển 1990, phải ghi rõ năm
• Dữ liệu 2020, thị trường Mỹ</t>
  </si>
  <si>
    <t xml:space="preserve">giữ chân khách hàng; khách hàng thân thiết</t>
  </si>
  <si>
    <t xml:space="preserve">Không chạy ads trên sàn thì có đơn không?</t>
  </si>
  <si>
    <t xml:space="preserve">Không chạy quảng cáo trên sàn, shop của bạn còn có đơn không?</t>
  </si>
  <si>
    <t xml:space="preserve">• Quý 2/2026: doanh thu quảng cáo Shopee +70%, tỷ lệ thu phí quảng cáo +0.9 điểm %, GMV +28%
• Retail media toàn cầu dự báo 200.4 tỷ USD năm 2026</t>
  </si>
  <si>
    <t xml:space="preserve">• Sea Limited, kết quả Q2 2026, 08/2026
• WARC, Global Ad Forecast, 08/2026</t>
  </si>
  <si>
    <t xml:space="preserve">https://www.businesswire.com/news/home/20260810021050/en/Sea-Limited-Reports-Second-Quarter-2026-Results
https://www.warc.com</t>
  </si>
  <si>
    <t xml:space="preserve">• Chưa mở được trang gốc (mạng chặn), đối chiếu qua Investing.com, The Edge (Bloomberg)
• Chưa có link bài cụ thể; đối chiếu qua Campaign</t>
  </si>
  <si>
    <t xml:space="preserve">• Số toàn khu vực. Đăng trước 12.12
• Số toàn cầu</t>
  </si>
  <si>
    <t xml:space="preserve">quảng cáo shopee; phí sàn shopee 2026</t>
  </si>
  <si>
    <t xml:space="preserve">Tết 2027: chuẩn bị từ bây giờ</t>
  </si>
  <si>
    <t xml:space="preserve">Tết vừa rồi, vì sao TikTok Shop lần đầu bán nhiều hơn Shopee?</t>
  </si>
  <si>
    <t xml:space="preserve">• 6 tuần trước Tết 2026: tổng 67.7 nghìn tỷ đồng; TikTok Shop ~34.6 nghìn tỷ, Shopee ~33.1 nghìn tỷ
• 82.8% người Việt chọn nhắn tin để liên lạc doanh nghiệp; 61.2% nhắn tin với doanh nghiệp mỗi ngày; 85% mua sắm dịp Tết, 44% tham gia 12.12</t>
  </si>
  <si>
    <t xml:space="preserve">• Metric.vn, báo cáo mùa Tết Bính Ngọ 2026
• Meta, nghiên cứu do Kantar và Ipsos thực hiện (khảo sát 11/2025)</t>
  </si>
  <si>
    <t xml:space="preserve">https://metric.vn
https://www.facebook.com/business/news</t>
  </si>
  <si>
    <t xml:space="preserve">• Link trang chủ Metric; Chưa mở được trang gốc (mạng chặn), đối chiếu qua Báo Pháp luật, Saigon Times
• Chưa có link bài cụ thể; Chưa mở được trang gốc (mạng chặn), đối chiếu qua Việt Nam News</t>
  </si>
  <si>
    <t xml:space="preserve">• Cần kiểm tra khung thời gian chính xác của báo cáo. Đăng giữa tháng 12 để kịp kế hoạch Tết 2027
• Chưa có URL trang gốc của Meta, cần tìm trước khi dựng</t>
  </si>
  <si>
    <t xml:space="preserve">marketing tết 2027; bán hàng tết</t>
  </si>
  <si>
    <t xml:space="preserve">Cao (theo mùa)</t>
  </si>
  <si>
    <t xml:space="preserve">Chỉ số</t>
  </si>
  <si>
    <t xml:space="preserve">Số lượng</t>
  </si>
  <si>
    <t xml:space="preserve">Tổng slot (kể cả đã đăng)</t>
  </si>
  <si>
    <t xml:space="preserve">Slot trống cần chủ đề trend</t>
  </si>
  <si>
    <t xml:space="preserve">Đã có chủ đề, chưa đăng</t>
  </si>
</sst>
</file>

<file path=xl/styles.xml><?xml version="1.0" encoding="utf-8"?>
<styleSheet xmlns="http://schemas.openxmlformats.org/spreadsheetml/2006/main">
  <numFmts count="2">
    <numFmt numFmtId="164" formatCode="General"/>
    <numFmt numFmtId="165" formatCode="dd/mm/yyyy"/>
  </numFmts>
  <fonts count="9">
    <font>
      <sz val="11"/>
      <color theme="1"/>
      <name val="Calibri"/>
      <family val="2"/>
      <charset val="1"/>
    </font>
    <font>
      <sz val="10"/>
      <name val="Arial"/>
      <family val="0"/>
    </font>
    <font>
      <sz val="10"/>
      <name val="Arial"/>
      <family val="0"/>
    </font>
    <font>
      <sz val="10"/>
      <name val="Arial"/>
      <family val="0"/>
    </font>
    <font>
      <b val="true"/>
      <sz val="14"/>
      <color rgb="FF002D72"/>
      <name val="Arial"/>
      <family val="0"/>
      <charset val="1"/>
    </font>
    <font>
      <sz val="10"/>
      <name val="Arial"/>
      <family val="0"/>
      <charset val="1"/>
    </font>
    <font>
      <b val="true"/>
      <sz val="10"/>
      <color rgb="FF000000"/>
      <name val="Arial"/>
      <family val="0"/>
      <charset val="1"/>
    </font>
    <font>
      <b val="true"/>
      <sz val="10"/>
      <color rgb="FFFFFFFF"/>
      <name val="Arial"/>
      <family val="0"/>
      <charset val="1"/>
    </font>
    <font>
      <sz val="10"/>
      <color rgb="FFB54708"/>
      <name val="Arial"/>
      <family val="0"/>
      <charset val="1"/>
    </font>
  </fonts>
  <fills count="6">
    <fill>
      <patternFill patternType="none"/>
    </fill>
    <fill>
      <patternFill patternType="gray125"/>
    </fill>
    <fill>
      <patternFill patternType="solid">
        <fgColor rgb="FF002D72"/>
        <bgColor rgb="FF333399"/>
      </patternFill>
    </fill>
    <fill>
      <patternFill patternType="solid">
        <fgColor rgb="FFFFFFFF"/>
        <bgColor rgb="FFF3F6FB"/>
      </patternFill>
    </fill>
    <fill>
      <patternFill patternType="solid">
        <fgColor rgb="FFFFF4E5"/>
        <bgColor rgb="FFF3F6FB"/>
      </patternFill>
    </fill>
    <fill>
      <patternFill patternType="solid">
        <fgColor rgb="FFF3F6FB"/>
        <bgColor rgb="FFFFFFFF"/>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02D72"/>
          <bgColor rgb="FF000000"/>
        </patternFill>
      </fill>
    </dxf>
    <dxf>
      <fill>
        <patternFill patternType="solid">
          <fgColor rgb="FFF3F6FB"/>
          <bgColor rgb="FF000000"/>
        </patternFill>
      </fill>
    </dxf>
    <dxf>
      <fill>
        <patternFill patternType="solid">
          <fgColor rgb="FFFFF4E5"/>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B5470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E5"/>
      <rgbColor rgb="FFF3F6FB"/>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D72"/>
      <rgbColor rgb="FF339966"/>
      <rgbColor rgb="FF003300"/>
      <rgbColor rgb="FF333300"/>
      <rgbColor rgb="FFB5470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17.25" hidden="false" customHeight="true" outlineLevel="0" collapsed="false">
      <c r="A1" s="2" t="s">
        <v>0</v>
      </c>
      <c r="B1" s="3"/>
    </row>
    <row r="2" customFormat="false" ht="23.25" hidden="false" customHeight="true" outlineLevel="0" collapsed="false">
      <c r="A2" s="4" t="s">
        <v>1</v>
      </c>
      <c r="B2" s="3" t="s">
        <v>2</v>
      </c>
    </row>
    <row r="3" customFormat="false" ht="34.5" hidden="false" customHeight="true" outlineLevel="0" collapsed="false">
      <c r="A3" s="4" t="s">
        <v>3</v>
      </c>
      <c r="B3" s="3" t="s">
        <v>4</v>
      </c>
    </row>
    <row r="4" customFormat="false" ht="23.25" hidden="false" customHeight="true" outlineLevel="0" collapsed="false">
      <c r="A4" s="4" t="s">
        <v>5</v>
      </c>
      <c r="B4" s="3" t="s">
        <v>6</v>
      </c>
    </row>
    <row r="5" customFormat="false" ht="23.25" hidden="false" customHeight="true" outlineLevel="0" collapsed="false">
      <c r="A5" s="4" t="s">
        <v>7</v>
      </c>
      <c r="B5" s="3" t="s">
        <v>8</v>
      </c>
    </row>
    <row r="6" customFormat="false" ht="23.25" hidden="false" customHeight="true" outlineLevel="0" collapsed="false">
      <c r="A6" s="4" t="s">
        <v>9</v>
      </c>
      <c r="B6" s="3" t="s">
        <v>10</v>
      </c>
    </row>
    <row r="7" customFormat="false" ht="23.25" hidden="false" customHeight="true" outlineLevel="0" collapsed="false">
      <c r="A7" s="4" t="s">
        <v>11</v>
      </c>
      <c r="B7"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
    <col collapsed="false" customWidth="true" hidden="false" outlineLevel="0" max="3" min="3" style="1" width="11"/>
    <col collapsed="false" customWidth="true" hidden="false" outlineLevel="0" max="4" min="4" style="1" width="15"/>
    <col collapsed="false" customWidth="true" hidden="false" outlineLevel="0" max="5" min="5" style="1" width="28"/>
    <col collapsed="false" customWidth="true" hidden="false" outlineLevel="0" max="6" min="6" style="1" width="38"/>
    <col collapsed="false" customWidth="true" hidden="false" outlineLevel="0" max="7" min="7" style="1" width="52"/>
    <col collapsed="false" customWidth="true" hidden="false" outlineLevel="0" max="8" min="8" style="1" width="40"/>
    <col collapsed="false" customWidth="true" hidden="false" outlineLevel="0" max="9" min="9" style="1" width="44"/>
    <col collapsed="false" customWidth="true" hidden="false" outlineLevel="0" max="11" min="10" style="1" width="34"/>
    <col collapsed="false" customWidth="true" hidden="false" outlineLevel="0" max="12" min="12" style="1" width="24"/>
    <col collapsed="false" customWidth="true" hidden="false" outlineLevel="0" max="13" min="13" style="1" width="13"/>
    <col collapsed="false" customWidth="true" hidden="false" outlineLevel="0" max="14" min="14" style="1" width="18"/>
  </cols>
  <sheetData>
    <row r="1" customFormat="false" ht="31.5" hidden="false" customHeight="true" outlineLevel="0" collapsed="false">
      <c r="A1" s="5" t="s">
        <v>13</v>
      </c>
      <c r="B1" s="5" t="s">
        <v>14</v>
      </c>
      <c r="C1" s="5" t="s">
        <v>15</v>
      </c>
      <c r="D1" s="5" t="s">
        <v>16</v>
      </c>
      <c r="E1" s="5" t="s">
        <v>17</v>
      </c>
      <c r="F1" s="5" t="s">
        <v>18</v>
      </c>
      <c r="G1" s="5" t="s">
        <v>19</v>
      </c>
      <c r="H1" s="5" t="s">
        <v>20</v>
      </c>
      <c r="I1" s="5" t="s">
        <v>21</v>
      </c>
      <c r="J1" s="5" t="s">
        <v>22</v>
      </c>
      <c r="K1" s="5" t="s">
        <v>11</v>
      </c>
      <c r="L1" s="5" t="s">
        <v>23</v>
      </c>
      <c r="M1" s="5" t="s">
        <v>24</v>
      </c>
      <c r="N1" s="5" t="s">
        <v>25</v>
      </c>
    </row>
    <row r="2" customFormat="false" ht="23.25" hidden="false" customHeight="true" outlineLevel="0" collapsed="false">
      <c r="A2" s="6" t="n">
        <v>1</v>
      </c>
      <c r="B2" s="6"/>
      <c r="C2" s="6" t="s">
        <v>26</v>
      </c>
      <c r="D2" s="6" t="s">
        <v>27</v>
      </c>
      <c r="E2" s="6" t="s">
        <v>28</v>
      </c>
      <c r="F2" s="6"/>
      <c r="G2" s="6"/>
      <c r="H2" s="6"/>
      <c r="I2" s="6"/>
      <c r="J2" s="6"/>
      <c r="K2" s="6" t="s">
        <v>29</v>
      </c>
      <c r="L2" s="6"/>
      <c r="M2" s="6"/>
      <c r="N2" s="6" t="s">
        <v>26</v>
      </c>
    </row>
    <row r="3" customFormat="false" ht="23.25" hidden="false" customHeight="true" outlineLevel="0" collapsed="false">
      <c r="A3" s="6" t="n">
        <v>2</v>
      </c>
      <c r="B3" s="6"/>
      <c r="C3" s="6" t="s">
        <v>26</v>
      </c>
      <c r="D3" s="6" t="s">
        <v>27</v>
      </c>
      <c r="E3" s="6" t="s">
        <v>30</v>
      </c>
      <c r="F3" s="6"/>
      <c r="G3" s="6"/>
      <c r="H3" s="6"/>
      <c r="I3" s="6"/>
      <c r="J3" s="6"/>
      <c r="K3" s="6" t="s">
        <v>29</v>
      </c>
      <c r="L3" s="6"/>
      <c r="M3" s="6"/>
      <c r="N3" s="6" t="s">
        <v>26</v>
      </c>
    </row>
    <row r="4" customFormat="false" ht="23.25" hidden="false" customHeight="true" outlineLevel="0" collapsed="false">
      <c r="A4" s="6" t="n">
        <v>3</v>
      </c>
      <c r="B4" s="6"/>
      <c r="C4" s="6" t="s">
        <v>26</v>
      </c>
      <c r="D4" s="6" t="s">
        <v>27</v>
      </c>
      <c r="E4" s="6" t="s">
        <v>31</v>
      </c>
      <c r="F4" s="6"/>
      <c r="G4" s="6"/>
      <c r="H4" s="6"/>
      <c r="I4" s="6"/>
      <c r="J4" s="6"/>
      <c r="K4" s="6" t="s">
        <v>29</v>
      </c>
      <c r="L4" s="6"/>
      <c r="M4" s="6"/>
      <c r="N4" s="6" t="s">
        <v>26</v>
      </c>
    </row>
    <row r="5" customFormat="false" ht="45.75" hidden="false" customHeight="true" outlineLevel="0" collapsed="false">
      <c r="A5" s="6" t="n">
        <v>4</v>
      </c>
      <c r="B5" s="6" t="s">
        <v>32</v>
      </c>
      <c r="C5" s="7" t="n">
        <v>46302</v>
      </c>
      <c r="D5" s="6" t="s">
        <v>33</v>
      </c>
      <c r="E5" s="6" t="s">
        <v>34</v>
      </c>
      <c r="F5" s="6" t="s">
        <v>35</v>
      </c>
      <c r="G5" s="6" t="s">
        <v>36</v>
      </c>
      <c r="H5" s="6" t="s">
        <v>37</v>
      </c>
      <c r="I5" s="6" t="s">
        <v>38</v>
      </c>
      <c r="J5" s="6" t="s">
        <v>39</v>
      </c>
      <c r="K5" s="8" t="s">
        <v>40</v>
      </c>
      <c r="L5" s="6" t="s">
        <v>41</v>
      </c>
      <c r="M5" s="6" t="s">
        <v>42</v>
      </c>
      <c r="N5" s="6" t="s">
        <v>26</v>
      </c>
    </row>
    <row r="6" customFormat="false" ht="102" hidden="false" customHeight="true" outlineLevel="0" collapsed="false">
      <c r="A6" s="6" t="n">
        <v>5</v>
      </c>
      <c r="B6" s="6" t="s">
        <v>43</v>
      </c>
      <c r="C6" s="7" t="n">
        <v>46303</v>
      </c>
      <c r="D6" s="6" t="s">
        <v>27</v>
      </c>
      <c r="E6" s="6" t="s">
        <v>44</v>
      </c>
      <c r="F6" s="6" t="s">
        <v>45</v>
      </c>
      <c r="G6" s="6" t="s">
        <v>46</v>
      </c>
      <c r="H6" s="6" t="s">
        <v>47</v>
      </c>
      <c r="I6" s="6" t="s">
        <v>48</v>
      </c>
      <c r="J6" s="6" t="s">
        <v>49</v>
      </c>
      <c r="K6" s="8" t="s">
        <v>50</v>
      </c>
      <c r="L6" s="6" t="s">
        <v>51</v>
      </c>
      <c r="M6" s="6" t="s">
        <v>52</v>
      </c>
      <c r="N6" s="6" t="s">
        <v>26</v>
      </c>
    </row>
    <row r="7" customFormat="false" ht="102" hidden="false" customHeight="true" outlineLevel="0" collapsed="false">
      <c r="A7" s="6" t="n">
        <v>6</v>
      </c>
      <c r="B7" s="6" t="s">
        <v>43</v>
      </c>
      <c r="C7" s="7" t="n">
        <v>46303</v>
      </c>
      <c r="D7" s="6" t="s">
        <v>53</v>
      </c>
      <c r="E7" s="6" t="s">
        <v>54</v>
      </c>
      <c r="F7" s="6" t="s">
        <v>55</v>
      </c>
      <c r="G7" s="6" t="s">
        <v>56</v>
      </c>
      <c r="H7" s="6" t="s">
        <v>57</v>
      </c>
      <c r="I7" s="6" t="s">
        <v>58</v>
      </c>
      <c r="J7" s="6" t="s">
        <v>59</v>
      </c>
      <c r="K7" s="8" t="s">
        <v>60</v>
      </c>
      <c r="L7" s="6" t="s">
        <v>61</v>
      </c>
      <c r="M7" s="6" t="s">
        <v>52</v>
      </c>
      <c r="N7" s="6" t="s">
        <v>26</v>
      </c>
    </row>
    <row r="8" customFormat="false" ht="68.25" hidden="false" customHeight="true" outlineLevel="0" collapsed="false">
      <c r="A8" s="6" t="n">
        <v>7</v>
      </c>
      <c r="B8" s="6" t="s">
        <v>62</v>
      </c>
      <c r="C8" s="7" t="n">
        <v>46304</v>
      </c>
      <c r="D8" s="6" t="s">
        <v>63</v>
      </c>
      <c r="E8" s="6" t="s">
        <v>64</v>
      </c>
      <c r="F8" s="6" t="s">
        <v>65</v>
      </c>
      <c r="G8" s="6" t="s">
        <v>66</v>
      </c>
      <c r="H8" s="6" t="s">
        <v>67</v>
      </c>
      <c r="I8" s="6" t="s">
        <v>68</v>
      </c>
      <c r="J8" s="6" t="s">
        <v>69</v>
      </c>
      <c r="K8" s="8" t="s">
        <v>70</v>
      </c>
      <c r="L8" s="6" t="s">
        <v>71</v>
      </c>
      <c r="M8" s="6" t="s">
        <v>52</v>
      </c>
      <c r="N8" s="6" t="s">
        <v>72</v>
      </c>
    </row>
    <row r="9" customFormat="false" ht="68.25" hidden="false" customHeight="true" outlineLevel="0" collapsed="false">
      <c r="A9" s="6" t="n">
        <v>8</v>
      </c>
      <c r="B9" s="6" t="s">
        <v>73</v>
      </c>
      <c r="C9" s="7" t="n">
        <v>46305</v>
      </c>
      <c r="D9" s="6" t="s">
        <v>74</v>
      </c>
      <c r="E9" s="6" t="s">
        <v>75</v>
      </c>
      <c r="F9" s="6" t="s">
        <v>76</v>
      </c>
      <c r="G9" s="6" t="s">
        <v>77</v>
      </c>
      <c r="H9" s="6" t="s">
        <v>78</v>
      </c>
      <c r="I9" s="6" t="s">
        <v>79</v>
      </c>
      <c r="J9" s="6" t="s">
        <v>59</v>
      </c>
      <c r="K9" s="8" t="s">
        <v>80</v>
      </c>
      <c r="L9" s="6" t="s">
        <v>81</v>
      </c>
      <c r="M9" s="6" t="s">
        <v>52</v>
      </c>
      <c r="N9" s="6" t="s">
        <v>26</v>
      </c>
    </row>
    <row r="10" customFormat="false" ht="23.25" hidden="false" customHeight="true" outlineLevel="0" collapsed="false">
      <c r="A10" s="9" t="n">
        <v>9</v>
      </c>
      <c r="B10" s="9" t="s">
        <v>82</v>
      </c>
      <c r="C10" s="10" t="n">
        <v>46306</v>
      </c>
      <c r="D10" s="9" t="s">
        <v>83</v>
      </c>
      <c r="E10" s="1" t="s">
        <v>84</v>
      </c>
      <c r="F10" s="9" t="s">
        <v>85</v>
      </c>
      <c r="G10" s="9" t="s">
        <v>86</v>
      </c>
      <c r="H10" s="9" t="s">
        <v>87</v>
      </c>
      <c r="I10" s="9" t="s">
        <v>88</v>
      </c>
      <c r="J10" s="9" t="s">
        <v>89</v>
      </c>
      <c r="K10" s="9" t="s">
        <v>90</v>
      </c>
      <c r="L10" s="9" t="s">
        <v>91</v>
      </c>
      <c r="M10" s="9" t="s">
        <v>52</v>
      </c>
      <c r="N10" s="9" t="s">
        <v>26</v>
      </c>
    </row>
    <row r="11" customFormat="false" ht="23.25" hidden="false" customHeight="true" outlineLevel="0" collapsed="false">
      <c r="A11" s="9" t="n">
        <v>10</v>
      </c>
      <c r="B11" s="9" t="s">
        <v>92</v>
      </c>
      <c r="C11" s="10" t="n">
        <v>46307</v>
      </c>
      <c r="D11" s="9" t="s">
        <v>93</v>
      </c>
      <c r="E11" s="1" t="s">
        <v>94</v>
      </c>
      <c r="F11" s="9" t="s">
        <v>95</v>
      </c>
      <c r="G11" s="9" t="s">
        <v>96</v>
      </c>
      <c r="H11" s="9" t="s">
        <v>97</v>
      </c>
      <c r="I11" s="9" t="s">
        <v>98</v>
      </c>
      <c r="J11" s="9" t="s">
        <v>99</v>
      </c>
      <c r="K11" s="9" t="s">
        <v>100</v>
      </c>
      <c r="L11" s="9" t="s">
        <v>101</v>
      </c>
      <c r="M11" s="9" t="s">
        <v>52</v>
      </c>
      <c r="N11" s="9" t="s">
        <v>72</v>
      </c>
    </row>
    <row r="12" customFormat="false" ht="23.25" hidden="false" customHeight="true" outlineLevel="0" collapsed="false">
      <c r="A12" s="9" t="n">
        <v>11</v>
      </c>
      <c r="B12" s="9" t="s">
        <v>102</v>
      </c>
      <c r="C12" s="10" t="n">
        <v>46308</v>
      </c>
      <c r="D12" s="9" t="s">
        <v>83</v>
      </c>
      <c r="E12" s="1" t="s">
        <v>103</v>
      </c>
      <c r="F12" s="9" t="s">
        <v>104</v>
      </c>
      <c r="G12" s="9" t="s">
        <v>105</v>
      </c>
      <c r="H12" s="9" t="s">
        <v>106</v>
      </c>
      <c r="I12" s="9" t="s">
        <v>107</v>
      </c>
      <c r="J12" s="9" t="s">
        <v>99</v>
      </c>
      <c r="K12" s="9" t="s">
        <v>108</v>
      </c>
      <c r="L12" s="9" t="s">
        <v>109</v>
      </c>
      <c r="M12" s="9" t="s">
        <v>52</v>
      </c>
      <c r="N12" s="9" t="s">
        <v>72</v>
      </c>
    </row>
    <row r="13" customFormat="false" ht="135.75" hidden="false" customHeight="true" outlineLevel="0" collapsed="false">
      <c r="A13" s="6" t="n">
        <v>12</v>
      </c>
      <c r="B13" s="6" t="s">
        <v>32</v>
      </c>
      <c r="C13" s="7" t="n">
        <v>46309</v>
      </c>
      <c r="D13" s="6" t="s">
        <v>63</v>
      </c>
      <c r="E13" s="6" t="s">
        <v>110</v>
      </c>
      <c r="F13" s="6" t="s">
        <v>111</v>
      </c>
      <c r="G13" s="6" t="s">
        <v>112</v>
      </c>
      <c r="H13" s="6" t="s">
        <v>113</v>
      </c>
      <c r="I13" s="6" t="s">
        <v>114</v>
      </c>
      <c r="J13" s="6" t="s">
        <v>115</v>
      </c>
      <c r="K13" s="8" t="s">
        <v>116</v>
      </c>
      <c r="L13" s="6" t="s">
        <v>117</v>
      </c>
      <c r="M13" s="6" t="s">
        <v>52</v>
      </c>
      <c r="N13" s="6" t="s">
        <v>72</v>
      </c>
    </row>
    <row r="14" customFormat="false" ht="124.5" hidden="false" customHeight="true" outlineLevel="0" collapsed="false">
      <c r="A14" s="6" t="n">
        <v>13</v>
      </c>
      <c r="B14" s="6" t="s">
        <v>43</v>
      </c>
      <c r="C14" s="7" t="n">
        <v>46310</v>
      </c>
      <c r="D14" s="6" t="s">
        <v>118</v>
      </c>
      <c r="E14" s="6" t="s">
        <v>119</v>
      </c>
      <c r="F14" s="6" t="s">
        <v>120</v>
      </c>
      <c r="G14" s="6" t="s">
        <v>121</v>
      </c>
      <c r="H14" s="6" t="s">
        <v>122</v>
      </c>
      <c r="I14" s="6" t="s">
        <v>123</v>
      </c>
      <c r="J14" s="6" t="s">
        <v>115</v>
      </c>
      <c r="K14" s="8" t="s">
        <v>124</v>
      </c>
      <c r="L14" s="6" t="s">
        <v>125</v>
      </c>
      <c r="M14" s="6" t="s">
        <v>126</v>
      </c>
      <c r="N14" s="6" t="s">
        <v>72</v>
      </c>
    </row>
    <row r="15" customFormat="false" ht="90.75" hidden="false" customHeight="true" outlineLevel="0" collapsed="false">
      <c r="A15" s="11" t="n">
        <v>14</v>
      </c>
      <c r="B15" s="11" t="s">
        <v>62</v>
      </c>
      <c r="C15" s="12" t="n">
        <v>46311</v>
      </c>
      <c r="D15" s="11" t="s">
        <v>118</v>
      </c>
      <c r="E15" s="11" t="s">
        <v>127</v>
      </c>
      <c r="F15" s="11" t="s">
        <v>128</v>
      </c>
      <c r="G15" s="11" t="s">
        <v>129</v>
      </c>
      <c r="H15" s="11" t="s">
        <v>130</v>
      </c>
      <c r="I15" s="11" t="s">
        <v>131</v>
      </c>
      <c r="J15" s="11" t="s">
        <v>115</v>
      </c>
      <c r="K15" s="13" t="s">
        <v>132</v>
      </c>
      <c r="L15" s="11" t="s">
        <v>133</v>
      </c>
      <c r="M15" s="11" t="s">
        <v>126</v>
      </c>
      <c r="N15" s="11" t="s">
        <v>72</v>
      </c>
    </row>
    <row r="16" customFormat="false" ht="102" hidden="false" customHeight="true" outlineLevel="0" collapsed="false">
      <c r="A16" s="11" t="n">
        <v>15</v>
      </c>
      <c r="B16" s="11" t="s">
        <v>73</v>
      </c>
      <c r="C16" s="12" t="n">
        <v>46312</v>
      </c>
      <c r="D16" s="11" t="s">
        <v>134</v>
      </c>
      <c r="E16" s="11" t="s">
        <v>135</v>
      </c>
      <c r="F16" s="11" t="s">
        <v>136</v>
      </c>
      <c r="G16" s="11" t="s">
        <v>137</v>
      </c>
      <c r="H16" s="11" t="s">
        <v>138</v>
      </c>
      <c r="I16" s="11" t="s">
        <v>139</v>
      </c>
      <c r="J16" s="11" t="s">
        <v>140</v>
      </c>
      <c r="K16" s="13" t="s">
        <v>141</v>
      </c>
      <c r="L16" s="11" t="s">
        <v>142</v>
      </c>
      <c r="M16" s="11" t="s">
        <v>52</v>
      </c>
      <c r="N16" s="11" t="s">
        <v>72</v>
      </c>
    </row>
    <row r="17" customFormat="false" ht="79.5" hidden="false" customHeight="true" outlineLevel="0" collapsed="false">
      <c r="A17" s="11" t="n">
        <v>16</v>
      </c>
      <c r="B17" s="11" t="s">
        <v>82</v>
      </c>
      <c r="C17" s="12" t="n">
        <v>46313</v>
      </c>
      <c r="D17" s="11" t="s">
        <v>143</v>
      </c>
      <c r="E17" s="11" t="s">
        <v>144</v>
      </c>
      <c r="F17" s="11" t="s">
        <v>145</v>
      </c>
      <c r="G17" s="11" t="s">
        <v>146</v>
      </c>
      <c r="H17" s="11" t="s">
        <v>147</v>
      </c>
      <c r="I17" s="11" t="s">
        <v>148</v>
      </c>
      <c r="J17" s="11" t="s">
        <v>149</v>
      </c>
      <c r="K17" s="13" t="s">
        <v>150</v>
      </c>
      <c r="L17" s="11" t="s">
        <v>151</v>
      </c>
      <c r="M17" s="11" t="s">
        <v>52</v>
      </c>
      <c r="N17" s="11" t="s">
        <v>152</v>
      </c>
    </row>
    <row r="18" customFormat="false" ht="68.25" hidden="false" customHeight="true" outlineLevel="0" collapsed="false">
      <c r="A18" s="11" t="n">
        <v>17</v>
      </c>
      <c r="B18" s="11" t="s">
        <v>92</v>
      </c>
      <c r="C18" s="12" t="n">
        <v>46314</v>
      </c>
      <c r="D18" s="11" t="s">
        <v>143</v>
      </c>
      <c r="E18" s="11" t="s">
        <v>153</v>
      </c>
      <c r="F18" s="11" t="s">
        <v>154</v>
      </c>
      <c r="G18" s="11" t="s">
        <v>155</v>
      </c>
      <c r="H18" s="11" t="s">
        <v>156</v>
      </c>
      <c r="I18" s="11" t="s">
        <v>157</v>
      </c>
      <c r="J18" s="11" t="s">
        <v>158</v>
      </c>
      <c r="K18" s="13" t="s">
        <v>159</v>
      </c>
      <c r="L18" s="11" t="s">
        <v>160</v>
      </c>
      <c r="M18" s="11" t="s">
        <v>126</v>
      </c>
      <c r="N18" s="11" t="s">
        <v>72</v>
      </c>
    </row>
    <row r="19" customFormat="false" ht="57" hidden="false" customHeight="true" outlineLevel="0" collapsed="false">
      <c r="A19" s="11" t="n">
        <v>18</v>
      </c>
      <c r="B19" s="11" t="s">
        <v>102</v>
      </c>
      <c r="C19" s="12" t="n">
        <v>46315</v>
      </c>
      <c r="D19" s="11" t="s">
        <v>161</v>
      </c>
      <c r="E19" s="11" t="s">
        <v>162</v>
      </c>
      <c r="F19" s="11" t="s">
        <v>163</v>
      </c>
      <c r="G19" s="11" t="s">
        <v>164</v>
      </c>
      <c r="H19" s="11" t="s">
        <v>165</v>
      </c>
      <c r="I19" s="11" t="s">
        <v>166</v>
      </c>
      <c r="J19" s="11" t="s">
        <v>167</v>
      </c>
      <c r="K19" s="13" t="s">
        <v>168</v>
      </c>
      <c r="L19" s="11"/>
      <c r="M19" s="11"/>
      <c r="N19" s="11" t="s">
        <v>72</v>
      </c>
    </row>
    <row r="20" customFormat="false" ht="23.25" hidden="false" customHeight="true" outlineLevel="0" collapsed="false">
      <c r="A20" s="9" t="n">
        <v>19</v>
      </c>
      <c r="B20" s="9" t="s">
        <v>32</v>
      </c>
      <c r="C20" s="10" t="n">
        <v>46316</v>
      </c>
      <c r="D20" s="9" t="s">
        <v>169</v>
      </c>
      <c r="E20" s="9" t="s">
        <v>170</v>
      </c>
      <c r="F20" s="9" t="s">
        <v>171</v>
      </c>
      <c r="G20" s="9" t="s">
        <v>172</v>
      </c>
      <c r="H20" s="9" t="s">
        <v>173</v>
      </c>
      <c r="I20" s="9" t="s">
        <v>174</v>
      </c>
      <c r="J20" s="9" t="s">
        <v>175</v>
      </c>
      <c r="K20" s="9" t="s">
        <v>176</v>
      </c>
      <c r="L20" s="9"/>
      <c r="M20" s="9"/>
      <c r="N20" s="9" t="s">
        <v>72</v>
      </c>
    </row>
    <row r="21" customFormat="false" ht="23.25" hidden="false" customHeight="true" outlineLevel="0" collapsed="false">
      <c r="A21" s="9" t="n">
        <v>20</v>
      </c>
      <c r="B21" s="9" t="s">
        <v>43</v>
      </c>
      <c r="C21" s="10" t="n">
        <v>46317</v>
      </c>
      <c r="D21" s="9"/>
      <c r="E21" s="9" t="s">
        <v>177</v>
      </c>
      <c r="F21" s="9"/>
      <c r="G21" s="9"/>
      <c r="H21" s="9"/>
      <c r="I21" s="9"/>
      <c r="J21" s="9"/>
      <c r="K21" s="9"/>
      <c r="L21" s="9"/>
      <c r="M21" s="9"/>
      <c r="N21" s="9" t="s">
        <v>178</v>
      </c>
    </row>
    <row r="22" customFormat="false" ht="23.25" hidden="false" customHeight="true" outlineLevel="0" collapsed="false">
      <c r="A22" s="9" t="n">
        <v>21</v>
      </c>
      <c r="B22" s="9" t="s">
        <v>62</v>
      </c>
      <c r="C22" s="10" t="n">
        <v>46318</v>
      </c>
      <c r="D22" s="9"/>
      <c r="E22" s="9" t="s">
        <v>177</v>
      </c>
      <c r="F22" s="9"/>
      <c r="G22" s="9"/>
      <c r="H22" s="9"/>
      <c r="I22" s="9"/>
      <c r="J22" s="9"/>
      <c r="K22" s="9"/>
      <c r="L22" s="9"/>
      <c r="M22" s="9"/>
      <c r="N22" s="9" t="s">
        <v>178</v>
      </c>
    </row>
    <row r="23" customFormat="false" ht="23.25" hidden="false" customHeight="true" outlineLevel="0" collapsed="false">
      <c r="A23" s="9" t="n">
        <v>22</v>
      </c>
      <c r="B23" s="9" t="s">
        <v>73</v>
      </c>
      <c r="C23" s="10" t="n">
        <v>46319</v>
      </c>
      <c r="D23" s="9"/>
      <c r="E23" s="9" t="s">
        <v>177</v>
      </c>
      <c r="F23" s="9"/>
      <c r="G23" s="9"/>
      <c r="H23" s="9"/>
      <c r="I23" s="9"/>
      <c r="J23" s="9"/>
      <c r="K23" s="9"/>
      <c r="L23" s="9"/>
      <c r="M23" s="9"/>
      <c r="N23" s="9" t="s">
        <v>178</v>
      </c>
    </row>
    <row r="24" customFormat="false" ht="23.25" hidden="false" customHeight="true" outlineLevel="0" collapsed="false">
      <c r="A24" s="9" t="n">
        <v>23</v>
      </c>
      <c r="B24" s="9" t="s">
        <v>82</v>
      </c>
      <c r="C24" s="10" t="n">
        <v>46320</v>
      </c>
      <c r="D24" s="9"/>
      <c r="E24" s="9" t="s">
        <v>177</v>
      </c>
      <c r="F24" s="9"/>
      <c r="G24" s="9"/>
      <c r="H24" s="9"/>
      <c r="I24" s="9"/>
      <c r="J24" s="9"/>
      <c r="K24" s="9"/>
      <c r="L24" s="9"/>
      <c r="M24" s="9"/>
      <c r="N24" s="9" t="s">
        <v>178</v>
      </c>
    </row>
    <row r="25" customFormat="false" ht="23.25" hidden="false" customHeight="true" outlineLevel="0" collapsed="false">
      <c r="A25" s="9" t="n">
        <v>24</v>
      </c>
      <c r="B25" s="9" t="s">
        <v>92</v>
      </c>
      <c r="C25" s="10" t="n">
        <v>46321</v>
      </c>
      <c r="D25" s="9"/>
      <c r="E25" s="9" t="s">
        <v>177</v>
      </c>
      <c r="F25" s="9"/>
      <c r="G25" s="9"/>
      <c r="H25" s="9"/>
      <c r="I25" s="9"/>
      <c r="J25" s="9"/>
      <c r="K25" s="9"/>
      <c r="L25" s="9"/>
      <c r="M25" s="9"/>
      <c r="N25" s="9" t="s">
        <v>178</v>
      </c>
    </row>
    <row r="26" customFormat="false" ht="23.25" hidden="false" customHeight="true" outlineLevel="0" collapsed="false">
      <c r="A26" s="9" t="n">
        <v>25</v>
      </c>
      <c r="B26" s="9" t="s">
        <v>102</v>
      </c>
      <c r="C26" s="10" t="n">
        <v>46322</v>
      </c>
      <c r="D26" s="9" t="s">
        <v>63</v>
      </c>
      <c r="E26" s="9" t="s">
        <v>179</v>
      </c>
      <c r="F26" s="9" t="s">
        <v>180</v>
      </c>
      <c r="G26" s="9" t="s">
        <v>181</v>
      </c>
      <c r="H26" s="9" t="s">
        <v>182</v>
      </c>
      <c r="I26" s="9" t="s">
        <v>183</v>
      </c>
      <c r="J26" s="9" t="s">
        <v>184</v>
      </c>
      <c r="K26" s="9" t="s">
        <v>185</v>
      </c>
      <c r="L26" s="9"/>
      <c r="M26" s="9"/>
      <c r="N26" s="9" t="s">
        <v>72</v>
      </c>
    </row>
    <row r="27" customFormat="false" ht="23.25" hidden="false" customHeight="true" outlineLevel="0" collapsed="false">
      <c r="A27" s="9" t="n">
        <v>26</v>
      </c>
      <c r="B27" s="9" t="s">
        <v>32</v>
      </c>
      <c r="C27" s="10" t="n">
        <v>46323</v>
      </c>
      <c r="D27" s="9"/>
      <c r="E27" s="9" t="s">
        <v>177</v>
      </c>
      <c r="F27" s="9"/>
      <c r="G27" s="9"/>
      <c r="H27" s="9"/>
      <c r="I27" s="9"/>
      <c r="J27" s="9"/>
      <c r="K27" s="9"/>
      <c r="L27" s="9"/>
      <c r="M27" s="9"/>
      <c r="N27" s="9" t="s">
        <v>178</v>
      </c>
    </row>
    <row r="28" customFormat="false" ht="23.25" hidden="false" customHeight="true" outlineLevel="0" collapsed="false">
      <c r="A28" s="9" t="n">
        <v>27</v>
      </c>
      <c r="B28" s="9" t="s">
        <v>43</v>
      </c>
      <c r="C28" s="10" t="n">
        <v>46324</v>
      </c>
      <c r="D28" s="9"/>
      <c r="E28" s="9" t="s">
        <v>177</v>
      </c>
      <c r="F28" s="9"/>
      <c r="G28" s="9"/>
      <c r="H28" s="9"/>
      <c r="I28" s="9"/>
      <c r="J28" s="9"/>
      <c r="K28" s="9"/>
      <c r="L28" s="9"/>
      <c r="M28" s="9"/>
      <c r="N28" s="9" t="s">
        <v>178</v>
      </c>
    </row>
    <row r="29" customFormat="false" ht="23.25" hidden="false" customHeight="true" outlineLevel="0" collapsed="false">
      <c r="A29" s="9" t="n">
        <v>28</v>
      </c>
      <c r="B29" s="9" t="s">
        <v>62</v>
      </c>
      <c r="C29" s="10" t="n">
        <v>46325</v>
      </c>
      <c r="D29" s="9"/>
      <c r="E29" s="9" t="s">
        <v>177</v>
      </c>
      <c r="F29" s="9"/>
      <c r="G29" s="9"/>
      <c r="H29" s="9"/>
      <c r="I29" s="9"/>
      <c r="J29" s="9"/>
      <c r="K29" s="9"/>
      <c r="L29" s="9"/>
      <c r="M29" s="9"/>
      <c r="N29" s="9" t="s">
        <v>178</v>
      </c>
    </row>
    <row r="30" customFormat="false" ht="23.25" hidden="false" customHeight="true" outlineLevel="0" collapsed="false">
      <c r="A30" s="9" t="n">
        <v>29</v>
      </c>
      <c r="B30" s="9" t="s">
        <v>73</v>
      </c>
      <c r="C30" s="10" t="n">
        <v>46326</v>
      </c>
      <c r="D30" s="9"/>
      <c r="E30" s="9" t="s">
        <v>177</v>
      </c>
      <c r="F30" s="9"/>
      <c r="G30" s="9"/>
      <c r="H30" s="9"/>
      <c r="I30" s="9"/>
      <c r="J30" s="9"/>
      <c r="K30" s="9"/>
      <c r="L30" s="9"/>
      <c r="M30" s="9"/>
      <c r="N30" s="9" t="s">
        <v>178</v>
      </c>
    </row>
    <row r="31" customFormat="false" ht="23.25" hidden="false" customHeight="true" outlineLevel="0" collapsed="false">
      <c r="A31" s="9" t="n">
        <v>30</v>
      </c>
      <c r="B31" s="9" t="s">
        <v>82</v>
      </c>
      <c r="C31" s="10" t="n">
        <v>46327</v>
      </c>
      <c r="D31" s="9"/>
      <c r="E31" s="9" t="s">
        <v>177</v>
      </c>
      <c r="F31" s="9"/>
      <c r="G31" s="9"/>
      <c r="H31" s="9"/>
      <c r="I31" s="9"/>
      <c r="J31" s="9"/>
      <c r="K31" s="9"/>
      <c r="L31" s="9"/>
      <c r="M31" s="9"/>
      <c r="N31" s="9" t="s">
        <v>178</v>
      </c>
    </row>
    <row r="32" customFormat="false" ht="23.25" hidden="false" customHeight="true" outlineLevel="0" collapsed="false">
      <c r="A32" s="9" t="n">
        <v>31</v>
      </c>
      <c r="B32" s="9" t="s">
        <v>92</v>
      </c>
      <c r="C32" s="10" t="n">
        <v>46328</v>
      </c>
      <c r="D32" s="9"/>
      <c r="E32" s="9" t="s">
        <v>177</v>
      </c>
      <c r="F32" s="9"/>
      <c r="G32" s="9"/>
      <c r="H32" s="9"/>
      <c r="I32" s="9"/>
      <c r="J32" s="9"/>
      <c r="K32" s="9"/>
      <c r="L32" s="9"/>
      <c r="M32" s="9"/>
      <c r="N32" s="9" t="s">
        <v>178</v>
      </c>
    </row>
    <row r="33" customFormat="false" ht="23.25" hidden="false" customHeight="true" outlineLevel="0" collapsed="false">
      <c r="A33" s="9" t="n">
        <v>32</v>
      </c>
      <c r="B33" s="9" t="s">
        <v>102</v>
      </c>
      <c r="C33" s="10" t="n">
        <v>46329</v>
      </c>
      <c r="D33" s="9"/>
      <c r="E33" s="9" t="s">
        <v>177</v>
      </c>
      <c r="F33" s="9"/>
      <c r="G33" s="9"/>
      <c r="H33" s="9"/>
      <c r="I33" s="9"/>
      <c r="J33" s="9"/>
      <c r="K33" s="9"/>
      <c r="L33" s="9"/>
      <c r="M33" s="9"/>
      <c r="N33" s="9" t="s">
        <v>178</v>
      </c>
    </row>
    <row r="34" customFormat="false" ht="23.25" hidden="false" customHeight="true" outlineLevel="0" collapsed="false">
      <c r="A34" s="9" t="n">
        <v>33</v>
      </c>
      <c r="B34" s="9" t="s">
        <v>32</v>
      </c>
      <c r="C34" s="10" t="n">
        <v>46330</v>
      </c>
      <c r="D34" s="9"/>
      <c r="E34" s="9" t="s">
        <v>177</v>
      </c>
      <c r="F34" s="9"/>
      <c r="G34" s="9"/>
      <c r="H34" s="9"/>
      <c r="I34" s="9"/>
      <c r="J34" s="9"/>
      <c r="K34" s="9"/>
      <c r="L34" s="9"/>
      <c r="M34" s="9"/>
      <c r="N34" s="9" t="s">
        <v>178</v>
      </c>
    </row>
    <row r="35" customFormat="false" ht="23.25" hidden="false" customHeight="true" outlineLevel="0" collapsed="false">
      <c r="A35" s="9" t="n">
        <v>34</v>
      </c>
      <c r="B35" s="9" t="s">
        <v>43</v>
      </c>
      <c r="C35" s="10" t="n">
        <v>46331</v>
      </c>
      <c r="D35" s="9"/>
      <c r="E35" s="9" t="s">
        <v>177</v>
      </c>
      <c r="F35" s="9"/>
      <c r="G35" s="9"/>
      <c r="H35" s="9"/>
      <c r="I35" s="9"/>
      <c r="J35" s="9"/>
      <c r="K35" s="9"/>
      <c r="L35" s="9"/>
      <c r="M35" s="9"/>
      <c r="N35" s="9" t="s">
        <v>178</v>
      </c>
    </row>
    <row r="36" customFormat="false" ht="23.25" hidden="false" customHeight="true" outlineLevel="0" collapsed="false">
      <c r="A36" s="9" t="n">
        <v>35</v>
      </c>
      <c r="B36" s="9" t="s">
        <v>62</v>
      </c>
      <c r="C36" s="10" t="n">
        <v>46332</v>
      </c>
      <c r="D36" s="9"/>
      <c r="E36" s="9" t="s">
        <v>177</v>
      </c>
      <c r="F36" s="9"/>
      <c r="G36" s="9"/>
      <c r="H36" s="9"/>
      <c r="I36" s="9"/>
      <c r="J36" s="9"/>
      <c r="K36" s="9"/>
      <c r="L36" s="9"/>
      <c r="M36" s="9"/>
      <c r="N36" s="9" t="s">
        <v>178</v>
      </c>
    </row>
    <row r="37" customFormat="false" ht="23.25" hidden="false" customHeight="true" outlineLevel="0" collapsed="false">
      <c r="A37" s="9" t="n">
        <v>36</v>
      </c>
      <c r="B37" s="9" t="s">
        <v>73</v>
      </c>
      <c r="C37" s="10" t="n">
        <v>46333</v>
      </c>
      <c r="D37" s="9"/>
      <c r="E37" s="9" t="s">
        <v>177</v>
      </c>
      <c r="F37" s="9"/>
      <c r="G37" s="9"/>
      <c r="H37" s="9"/>
      <c r="I37" s="9"/>
      <c r="J37" s="9"/>
      <c r="K37" s="9"/>
      <c r="L37" s="9"/>
      <c r="M37" s="9"/>
      <c r="N37" s="9" t="s">
        <v>178</v>
      </c>
    </row>
    <row r="38" customFormat="false" ht="23.25" hidden="false" customHeight="true" outlineLevel="0" collapsed="false">
      <c r="A38" s="9" t="n">
        <v>37</v>
      </c>
      <c r="B38" s="9" t="s">
        <v>82</v>
      </c>
      <c r="C38" s="10" t="n">
        <v>46334</v>
      </c>
      <c r="D38" s="9"/>
      <c r="E38" s="9" t="s">
        <v>177</v>
      </c>
      <c r="F38" s="9"/>
      <c r="G38" s="9"/>
      <c r="H38" s="9"/>
      <c r="I38" s="9"/>
      <c r="J38" s="9"/>
      <c r="K38" s="9"/>
      <c r="L38" s="9"/>
      <c r="M38" s="9"/>
      <c r="N38" s="9" t="s">
        <v>178</v>
      </c>
    </row>
    <row r="39" customFormat="false" ht="23.25" hidden="false" customHeight="true" outlineLevel="0" collapsed="false">
      <c r="A39" s="9" t="n">
        <v>38</v>
      </c>
      <c r="B39" s="9" t="s">
        <v>92</v>
      </c>
      <c r="C39" s="10" t="n">
        <v>46335</v>
      </c>
      <c r="D39" s="9"/>
      <c r="E39" s="9" t="s">
        <v>177</v>
      </c>
      <c r="F39" s="9"/>
      <c r="G39" s="9"/>
      <c r="H39" s="9"/>
      <c r="I39" s="9"/>
      <c r="J39" s="9"/>
      <c r="K39" s="9"/>
      <c r="L39" s="9"/>
      <c r="M39" s="9"/>
      <c r="N39" s="9" t="s">
        <v>178</v>
      </c>
    </row>
    <row r="40" customFormat="false" ht="23.25" hidden="false" customHeight="true" outlineLevel="0" collapsed="false">
      <c r="A40" s="9" t="n">
        <v>39</v>
      </c>
      <c r="B40" s="9" t="s">
        <v>102</v>
      </c>
      <c r="C40" s="10" t="n">
        <v>46336</v>
      </c>
      <c r="D40" s="9" t="s">
        <v>161</v>
      </c>
      <c r="E40" s="9" t="s">
        <v>186</v>
      </c>
      <c r="F40" s="9" t="s">
        <v>187</v>
      </c>
      <c r="G40" s="9" t="s">
        <v>188</v>
      </c>
      <c r="H40" s="9" t="s">
        <v>189</v>
      </c>
      <c r="I40" s="9" t="s">
        <v>190</v>
      </c>
      <c r="J40" s="9" t="s">
        <v>191</v>
      </c>
      <c r="K40" s="9" t="s">
        <v>192</v>
      </c>
      <c r="L40" s="9" t="s">
        <v>193</v>
      </c>
      <c r="M40" s="9" t="s">
        <v>52</v>
      </c>
      <c r="N40" s="9" t="s">
        <v>152</v>
      </c>
    </row>
    <row r="41" customFormat="false" ht="102" hidden="false" customHeight="true" outlineLevel="0" collapsed="false">
      <c r="A41" s="6" t="n">
        <v>40</v>
      </c>
      <c r="B41" s="6" t="s">
        <v>32</v>
      </c>
      <c r="C41" s="7" t="n">
        <v>46337</v>
      </c>
      <c r="D41" s="6"/>
      <c r="E41" s="6" t="s">
        <v>177</v>
      </c>
      <c r="F41" s="6"/>
      <c r="G41" s="6"/>
      <c r="H41" s="6"/>
      <c r="I41" s="6"/>
      <c r="J41" s="6"/>
      <c r="K41" s="8"/>
      <c r="L41" s="6"/>
      <c r="M41" s="6"/>
      <c r="N41" s="6" t="s">
        <v>178</v>
      </c>
    </row>
    <row r="42" customFormat="false" ht="23.25" hidden="false" customHeight="true" outlineLevel="0" collapsed="false">
      <c r="A42" s="9" t="n">
        <v>41</v>
      </c>
      <c r="B42" s="9" t="s">
        <v>43</v>
      </c>
      <c r="C42" s="10" t="n">
        <v>46338</v>
      </c>
      <c r="D42" s="9"/>
      <c r="E42" s="9" t="s">
        <v>177</v>
      </c>
      <c r="F42" s="9"/>
      <c r="G42" s="9"/>
      <c r="H42" s="9"/>
      <c r="I42" s="9"/>
      <c r="J42" s="9"/>
      <c r="K42" s="9"/>
      <c r="L42" s="9"/>
      <c r="M42" s="9"/>
      <c r="N42" s="9" t="s">
        <v>178</v>
      </c>
    </row>
    <row r="43" customFormat="false" ht="23.25" hidden="false" customHeight="true" outlineLevel="0" collapsed="false">
      <c r="A43" s="9" t="n">
        <v>42</v>
      </c>
      <c r="B43" s="9" t="s">
        <v>62</v>
      </c>
      <c r="C43" s="10" t="n">
        <v>46339</v>
      </c>
      <c r="D43" s="9"/>
      <c r="E43" s="9" t="s">
        <v>177</v>
      </c>
      <c r="F43" s="9"/>
      <c r="G43" s="9"/>
      <c r="H43" s="9"/>
      <c r="I43" s="9"/>
      <c r="J43" s="9"/>
      <c r="K43" s="9"/>
      <c r="L43" s="9"/>
      <c r="M43" s="9"/>
      <c r="N43" s="9" t="s">
        <v>178</v>
      </c>
    </row>
    <row r="44" customFormat="false" ht="23.25" hidden="false" customHeight="true" outlineLevel="0" collapsed="false">
      <c r="A44" s="9" t="n">
        <v>43</v>
      </c>
      <c r="B44" s="9" t="s">
        <v>73</v>
      </c>
      <c r="C44" s="10" t="n">
        <v>46340</v>
      </c>
      <c r="D44" s="9"/>
      <c r="E44" s="9" t="s">
        <v>177</v>
      </c>
      <c r="F44" s="9"/>
      <c r="G44" s="9"/>
      <c r="H44" s="9"/>
      <c r="I44" s="9"/>
      <c r="J44" s="9"/>
      <c r="K44" s="9"/>
      <c r="L44" s="9"/>
      <c r="M44" s="9"/>
      <c r="N44" s="9" t="s">
        <v>178</v>
      </c>
    </row>
    <row r="45" customFormat="false" ht="23.25" hidden="false" customHeight="true" outlineLevel="0" collapsed="false">
      <c r="A45" s="9" t="n">
        <v>44</v>
      </c>
      <c r="B45" s="9" t="s">
        <v>82</v>
      </c>
      <c r="C45" s="10" t="n">
        <v>46341</v>
      </c>
      <c r="D45" s="9"/>
      <c r="E45" s="9" t="s">
        <v>177</v>
      </c>
      <c r="F45" s="9"/>
      <c r="G45" s="9"/>
      <c r="H45" s="9"/>
      <c r="I45" s="9"/>
      <c r="J45" s="9"/>
      <c r="K45" s="9"/>
      <c r="L45" s="9"/>
      <c r="M45" s="9"/>
      <c r="N45" s="9" t="s">
        <v>178</v>
      </c>
    </row>
    <row r="46" customFormat="false" ht="23.25" hidden="false" customHeight="true" outlineLevel="0" collapsed="false">
      <c r="A46" s="9" t="n">
        <v>45</v>
      </c>
      <c r="B46" s="9" t="s">
        <v>92</v>
      </c>
      <c r="C46" s="10" t="n">
        <v>46342</v>
      </c>
      <c r="D46" s="9"/>
      <c r="E46" s="9" t="s">
        <v>177</v>
      </c>
      <c r="F46" s="9"/>
      <c r="G46" s="9"/>
      <c r="H46" s="9"/>
      <c r="I46" s="9"/>
      <c r="J46" s="9"/>
      <c r="K46" s="9"/>
      <c r="L46" s="9"/>
      <c r="M46" s="9"/>
      <c r="N46" s="9" t="s">
        <v>178</v>
      </c>
    </row>
    <row r="47" customFormat="false" ht="23.25" hidden="false" customHeight="true" outlineLevel="0" collapsed="false">
      <c r="A47" s="9" t="n">
        <v>46</v>
      </c>
      <c r="B47" s="9" t="s">
        <v>102</v>
      </c>
      <c r="C47" s="10" t="n">
        <v>46343</v>
      </c>
      <c r="D47" s="9"/>
      <c r="E47" s="9" t="s">
        <v>177</v>
      </c>
      <c r="F47" s="9"/>
      <c r="G47" s="9"/>
      <c r="H47" s="9"/>
      <c r="I47" s="9"/>
      <c r="J47" s="9"/>
      <c r="K47" s="9"/>
      <c r="L47" s="9"/>
      <c r="M47" s="9"/>
      <c r="N47" s="9" t="s">
        <v>178</v>
      </c>
    </row>
    <row r="48" customFormat="false" ht="23.25" hidden="false" customHeight="true" outlineLevel="0" collapsed="false">
      <c r="A48" s="9" t="n">
        <v>47</v>
      </c>
      <c r="B48" s="9" t="s">
        <v>32</v>
      </c>
      <c r="C48" s="10" t="n">
        <v>46344</v>
      </c>
      <c r="D48" s="9"/>
      <c r="E48" s="9" t="s">
        <v>177</v>
      </c>
      <c r="F48" s="9"/>
      <c r="G48" s="9"/>
      <c r="H48" s="9"/>
      <c r="I48" s="9"/>
      <c r="J48" s="9"/>
      <c r="K48" s="9"/>
      <c r="L48" s="9"/>
      <c r="M48" s="9"/>
      <c r="N48" s="9" t="s">
        <v>178</v>
      </c>
    </row>
    <row r="49" customFormat="false" ht="23.25" hidden="false" customHeight="true" outlineLevel="0" collapsed="false">
      <c r="A49" s="9" t="n">
        <v>48</v>
      </c>
      <c r="B49" s="9" t="s">
        <v>43</v>
      </c>
      <c r="C49" s="10" t="n">
        <v>46345</v>
      </c>
      <c r="D49" s="9"/>
      <c r="E49" s="9" t="s">
        <v>177</v>
      </c>
      <c r="F49" s="9"/>
      <c r="G49" s="9"/>
      <c r="H49" s="9"/>
      <c r="I49" s="9"/>
      <c r="J49" s="9"/>
      <c r="K49" s="9"/>
      <c r="L49" s="9"/>
      <c r="M49" s="9"/>
      <c r="N49" s="9" t="s">
        <v>178</v>
      </c>
    </row>
    <row r="50" customFormat="false" ht="23.25" hidden="false" customHeight="true" outlineLevel="0" collapsed="false">
      <c r="A50" s="9" t="n">
        <v>49</v>
      </c>
      <c r="B50" s="9" t="s">
        <v>62</v>
      </c>
      <c r="C50" s="10" t="n">
        <v>46346</v>
      </c>
      <c r="D50" s="9"/>
      <c r="E50" s="9" t="s">
        <v>177</v>
      </c>
      <c r="F50" s="9"/>
      <c r="G50" s="9"/>
      <c r="H50" s="9"/>
      <c r="I50" s="9"/>
      <c r="J50" s="9"/>
      <c r="K50" s="9"/>
      <c r="L50" s="9"/>
      <c r="M50" s="9"/>
      <c r="N50" s="9" t="s">
        <v>178</v>
      </c>
    </row>
    <row r="51" customFormat="false" ht="23.25" hidden="false" customHeight="true" outlineLevel="0" collapsed="false">
      <c r="A51" s="9" t="n">
        <v>50</v>
      </c>
      <c r="B51" s="9" t="s">
        <v>73</v>
      </c>
      <c r="C51" s="10" t="n">
        <v>46347</v>
      </c>
      <c r="D51" s="9" t="s">
        <v>194</v>
      </c>
      <c r="E51" s="9" t="s">
        <v>195</v>
      </c>
      <c r="F51" s="9" t="s">
        <v>196</v>
      </c>
      <c r="G51" s="9" t="s">
        <v>197</v>
      </c>
      <c r="H51" s="9" t="s">
        <v>198</v>
      </c>
      <c r="I51" s="9" t="s">
        <v>199</v>
      </c>
      <c r="J51" s="9" t="s">
        <v>200</v>
      </c>
      <c r="K51" s="9" t="s">
        <v>201</v>
      </c>
      <c r="L51" s="9" t="s">
        <v>202</v>
      </c>
      <c r="M51" s="9" t="s">
        <v>203</v>
      </c>
      <c r="N51" s="9" t="s">
        <v>152</v>
      </c>
    </row>
    <row r="52" customFormat="false" ht="45.75" hidden="false" customHeight="true" outlineLevel="0" collapsed="false">
      <c r="A52" s="6" t="n">
        <v>51</v>
      </c>
      <c r="B52" s="6" t="s">
        <v>82</v>
      </c>
      <c r="C52" s="7" t="n">
        <v>46348</v>
      </c>
      <c r="D52" s="6"/>
      <c r="E52" s="6" t="s">
        <v>177</v>
      </c>
      <c r="F52" s="6"/>
      <c r="G52" s="6"/>
      <c r="H52" s="6"/>
      <c r="I52" s="6"/>
      <c r="J52" s="6"/>
      <c r="K52" s="8"/>
      <c r="L52" s="6"/>
      <c r="M52" s="6"/>
      <c r="N52" s="6" t="s">
        <v>178</v>
      </c>
    </row>
    <row r="53" customFormat="false" ht="23.25" hidden="false" customHeight="true" outlineLevel="0" collapsed="false">
      <c r="A53" s="9" t="n">
        <v>52</v>
      </c>
      <c r="B53" s="9" t="s">
        <v>92</v>
      </c>
      <c r="C53" s="10" t="n">
        <v>46349</v>
      </c>
      <c r="D53" s="9"/>
      <c r="E53" s="9" t="s">
        <v>177</v>
      </c>
      <c r="F53" s="9"/>
      <c r="G53" s="9"/>
      <c r="H53" s="9"/>
      <c r="I53" s="9"/>
      <c r="J53" s="9"/>
      <c r="K53" s="9"/>
      <c r="L53" s="9"/>
      <c r="M53" s="9"/>
      <c r="N53" s="9" t="s">
        <v>178</v>
      </c>
    </row>
    <row r="54" customFormat="false" ht="23.25" hidden="false" customHeight="true" outlineLevel="0" collapsed="false">
      <c r="A54" s="9" t="n">
        <v>53</v>
      </c>
      <c r="B54" s="9" t="s">
        <v>102</v>
      </c>
      <c r="C54" s="10" t="n">
        <v>46350</v>
      </c>
      <c r="D54" s="9"/>
      <c r="E54" s="9" t="s">
        <v>177</v>
      </c>
      <c r="F54" s="9"/>
      <c r="G54" s="9"/>
      <c r="H54" s="9"/>
      <c r="I54" s="9"/>
      <c r="J54" s="9"/>
      <c r="K54" s="9"/>
      <c r="L54" s="9"/>
      <c r="M54" s="9"/>
      <c r="N54" s="9" t="s">
        <v>178</v>
      </c>
    </row>
    <row r="55" customFormat="false" ht="23.25" hidden="false" customHeight="true" outlineLevel="0" collapsed="false">
      <c r="A55" s="9" t="n">
        <v>54</v>
      </c>
      <c r="B55" s="9" t="s">
        <v>32</v>
      </c>
      <c r="C55" s="10" t="n">
        <v>46351</v>
      </c>
      <c r="D55" s="9"/>
      <c r="E55" s="9" t="s">
        <v>177</v>
      </c>
      <c r="F55" s="9"/>
      <c r="G55" s="9"/>
      <c r="H55" s="9"/>
      <c r="I55" s="9"/>
      <c r="J55" s="9"/>
      <c r="K55" s="9"/>
      <c r="L55" s="9"/>
      <c r="M55" s="9"/>
      <c r="N55" s="9" t="s">
        <v>178</v>
      </c>
    </row>
    <row r="56" customFormat="false" ht="23.25" hidden="false" customHeight="true" outlineLevel="0" collapsed="false">
      <c r="A56" s="9" t="n">
        <v>55</v>
      </c>
      <c r="B56" s="9" t="s">
        <v>43</v>
      </c>
      <c r="C56" s="10" t="n">
        <v>46352</v>
      </c>
      <c r="D56" s="9" t="s">
        <v>53</v>
      </c>
      <c r="E56" s="9" t="s">
        <v>204</v>
      </c>
      <c r="F56" s="9" t="s">
        <v>205</v>
      </c>
      <c r="G56" s="9" t="s">
        <v>206</v>
      </c>
      <c r="H56" s="9" t="s">
        <v>207</v>
      </c>
      <c r="I56" s="9" t="s">
        <v>208</v>
      </c>
      <c r="J56" s="9" t="s">
        <v>209</v>
      </c>
      <c r="K56" s="9" t="s">
        <v>210</v>
      </c>
      <c r="L56" s="9" t="s">
        <v>211</v>
      </c>
      <c r="M56" s="9" t="s">
        <v>126</v>
      </c>
      <c r="N56" s="9" t="s">
        <v>152</v>
      </c>
    </row>
    <row r="57" customFormat="false" ht="68.25" hidden="false" customHeight="true" outlineLevel="0" collapsed="false">
      <c r="A57" s="11" t="n">
        <v>56</v>
      </c>
      <c r="B57" s="11" t="s">
        <v>62</v>
      </c>
      <c r="C57" s="12" t="n">
        <v>46353</v>
      </c>
      <c r="D57" s="11"/>
      <c r="E57" s="11" t="s">
        <v>177</v>
      </c>
      <c r="F57" s="11"/>
      <c r="G57" s="11"/>
      <c r="H57" s="11"/>
      <c r="I57" s="11"/>
      <c r="J57" s="11"/>
      <c r="K57" s="13"/>
      <c r="L57" s="11"/>
      <c r="M57" s="11"/>
      <c r="N57" s="11" t="s">
        <v>178</v>
      </c>
    </row>
    <row r="58" customFormat="false" ht="23.25" hidden="false" customHeight="true" outlineLevel="0" collapsed="false">
      <c r="A58" s="9" t="n">
        <v>57</v>
      </c>
      <c r="B58" s="9" t="s">
        <v>73</v>
      </c>
      <c r="C58" s="10" t="n">
        <v>46354</v>
      </c>
      <c r="D58" s="9"/>
      <c r="E58" s="9" t="s">
        <v>177</v>
      </c>
      <c r="F58" s="9"/>
      <c r="G58" s="9"/>
      <c r="H58" s="9"/>
      <c r="I58" s="9"/>
      <c r="J58" s="9"/>
      <c r="K58" s="9"/>
      <c r="L58" s="9"/>
      <c r="M58" s="9"/>
      <c r="N58" s="9" t="s">
        <v>178</v>
      </c>
    </row>
    <row r="59" customFormat="false" ht="23.25" hidden="false" customHeight="true" outlineLevel="0" collapsed="false">
      <c r="A59" s="9" t="n">
        <v>58</v>
      </c>
      <c r="B59" s="9" t="s">
        <v>82</v>
      </c>
      <c r="C59" s="10" t="n">
        <v>46355</v>
      </c>
      <c r="D59" s="9"/>
      <c r="E59" s="9" t="s">
        <v>177</v>
      </c>
      <c r="F59" s="9"/>
      <c r="G59" s="9"/>
      <c r="H59" s="9"/>
      <c r="I59" s="9"/>
      <c r="J59" s="9"/>
      <c r="K59" s="9"/>
      <c r="L59" s="9"/>
      <c r="M59" s="9"/>
      <c r="N59" s="9" t="s">
        <v>178</v>
      </c>
    </row>
    <row r="60" customFormat="false" ht="23.25" hidden="false" customHeight="true" outlineLevel="0" collapsed="false">
      <c r="A60" s="9" t="n">
        <v>59</v>
      </c>
      <c r="B60" s="9" t="s">
        <v>92</v>
      </c>
      <c r="C60" s="10" t="n">
        <v>46356</v>
      </c>
      <c r="D60" s="9"/>
      <c r="E60" s="9" t="s">
        <v>177</v>
      </c>
      <c r="F60" s="9"/>
      <c r="G60" s="9"/>
      <c r="H60" s="9"/>
      <c r="I60" s="9"/>
      <c r="J60" s="9"/>
      <c r="K60" s="9"/>
      <c r="L60" s="9"/>
      <c r="M60" s="9"/>
      <c r="N60" s="9" t="s">
        <v>178</v>
      </c>
    </row>
    <row r="61" customFormat="false" ht="23.25" hidden="false" customHeight="true" outlineLevel="0" collapsed="false">
      <c r="A61" s="9" t="n">
        <v>60</v>
      </c>
      <c r="B61" s="9" t="s">
        <v>102</v>
      </c>
      <c r="C61" s="10" t="n">
        <v>46357</v>
      </c>
      <c r="D61" s="9"/>
      <c r="E61" s="9" t="s">
        <v>177</v>
      </c>
      <c r="F61" s="9"/>
      <c r="G61" s="9"/>
      <c r="H61" s="9"/>
      <c r="I61" s="9"/>
      <c r="J61" s="9"/>
      <c r="K61" s="9"/>
      <c r="L61" s="9"/>
      <c r="M61" s="9"/>
      <c r="N61" s="9" t="s">
        <v>178</v>
      </c>
    </row>
    <row r="62" customFormat="false" ht="23.25" hidden="false" customHeight="true" outlineLevel="0" collapsed="false">
      <c r="A62" s="9" t="n">
        <v>61</v>
      </c>
      <c r="B62" s="9" t="s">
        <v>32</v>
      </c>
      <c r="C62" s="10" t="n">
        <v>46358</v>
      </c>
      <c r="D62" s="9"/>
      <c r="E62" s="9" t="s">
        <v>177</v>
      </c>
      <c r="F62" s="9"/>
      <c r="G62" s="9"/>
      <c r="H62" s="9"/>
      <c r="I62" s="9"/>
      <c r="J62" s="9"/>
      <c r="K62" s="9"/>
      <c r="L62" s="9"/>
      <c r="M62" s="9"/>
      <c r="N62" s="9" t="s">
        <v>178</v>
      </c>
    </row>
    <row r="63" customFormat="false" ht="23.25" hidden="false" customHeight="true" outlineLevel="0" collapsed="false">
      <c r="A63" s="9" t="n">
        <v>62</v>
      </c>
      <c r="B63" s="9" t="s">
        <v>43</v>
      </c>
      <c r="C63" s="10" t="n">
        <v>46359</v>
      </c>
      <c r="D63" s="9"/>
      <c r="E63" s="9" t="s">
        <v>177</v>
      </c>
      <c r="F63" s="9"/>
      <c r="G63" s="9"/>
      <c r="H63" s="9"/>
      <c r="I63" s="9"/>
      <c r="J63" s="9"/>
      <c r="K63" s="9"/>
      <c r="L63" s="9"/>
      <c r="M63" s="9"/>
      <c r="N63" s="9" t="s">
        <v>178</v>
      </c>
    </row>
    <row r="64" customFormat="false" ht="23.25" hidden="false" customHeight="true" outlineLevel="0" collapsed="false">
      <c r="A64" s="9" t="n">
        <v>63</v>
      </c>
      <c r="B64" s="9" t="s">
        <v>62</v>
      </c>
      <c r="C64" s="10" t="n">
        <v>46360</v>
      </c>
      <c r="D64" s="9"/>
      <c r="E64" s="9" t="s">
        <v>177</v>
      </c>
      <c r="F64" s="9"/>
      <c r="G64" s="9"/>
      <c r="H64" s="9"/>
      <c r="I64" s="9"/>
      <c r="J64" s="9"/>
      <c r="K64" s="9"/>
      <c r="L64" s="9"/>
      <c r="M64" s="9"/>
      <c r="N64" s="9" t="s">
        <v>178</v>
      </c>
    </row>
    <row r="65" customFormat="false" ht="23.25" hidden="false" customHeight="true" outlineLevel="0" collapsed="false">
      <c r="A65" s="9" t="n">
        <v>64</v>
      </c>
      <c r="B65" s="9" t="s">
        <v>73</v>
      </c>
      <c r="C65" s="10" t="n">
        <v>46361</v>
      </c>
      <c r="D65" s="9"/>
      <c r="E65" s="9" t="s">
        <v>177</v>
      </c>
      <c r="F65" s="9"/>
      <c r="G65" s="9"/>
      <c r="H65" s="9"/>
      <c r="I65" s="9"/>
      <c r="J65" s="9"/>
      <c r="K65" s="9"/>
      <c r="L65" s="9"/>
      <c r="M65" s="9"/>
      <c r="N65" s="9" t="s">
        <v>178</v>
      </c>
    </row>
    <row r="66" customFormat="false" ht="23.25" hidden="false" customHeight="true" outlineLevel="0" collapsed="false">
      <c r="A66" s="9" t="n">
        <v>65</v>
      </c>
      <c r="B66" s="9" t="s">
        <v>82</v>
      </c>
      <c r="C66" s="10" t="n">
        <v>46362</v>
      </c>
      <c r="D66" s="9"/>
      <c r="E66" s="9" t="s">
        <v>177</v>
      </c>
      <c r="F66" s="9"/>
      <c r="G66" s="9"/>
      <c r="H66" s="9"/>
      <c r="I66" s="9"/>
      <c r="J66" s="9"/>
      <c r="K66" s="9"/>
      <c r="L66" s="9"/>
      <c r="M66" s="9"/>
      <c r="N66" s="9" t="s">
        <v>178</v>
      </c>
    </row>
    <row r="67" customFormat="false" ht="23.25" hidden="false" customHeight="true" outlineLevel="0" collapsed="false">
      <c r="A67" s="9" t="n">
        <v>66</v>
      </c>
      <c r="B67" s="9" t="s">
        <v>92</v>
      </c>
      <c r="C67" s="10" t="n">
        <v>46363</v>
      </c>
      <c r="D67" s="9"/>
      <c r="E67" s="9" t="s">
        <v>177</v>
      </c>
      <c r="F67" s="9"/>
      <c r="G67" s="9"/>
      <c r="H67" s="9"/>
      <c r="I67" s="9"/>
      <c r="J67" s="9"/>
      <c r="K67" s="9"/>
      <c r="L67" s="9"/>
      <c r="M67" s="9"/>
      <c r="N67" s="9" t="s">
        <v>178</v>
      </c>
    </row>
    <row r="68" customFormat="false" ht="23.25" hidden="false" customHeight="true" outlineLevel="0" collapsed="false">
      <c r="A68" s="9" t="n">
        <v>67</v>
      </c>
      <c r="B68" s="9" t="s">
        <v>102</v>
      </c>
      <c r="C68" s="10" t="n">
        <v>46364</v>
      </c>
      <c r="D68" s="9" t="s">
        <v>161</v>
      </c>
      <c r="E68" s="9" t="s">
        <v>212</v>
      </c>
      <c r="F68" s="9" t="s">
        <v>213</v>
      </c>
      <c r="G68" s="9" t="s">
        <v>214</v>
      </c>
      <c r="H68" s="9" t="s">
        <v>215</v>
      </c>
      <c r="I68" s="9" t="s">
        <v>216</v>
      </c>
      <c r="J68" s="9" t="s">
        <v>217</v>
      </c>
      <c r="K68" s="9" t="s">
        <v>218</v>
      </c>
      <c r="L68" s="9" t="s">
        <v>219</v>
      </c>
      <c r="M68" s="9" t="s">
        <v>52</v>
      </c>
      <c r="N68" s="9" t="s">
        <v>152</v>
      </c>
    </row>
    <row r="69" customFormat="false" ht="57" hidden="false" customHeight="true" outlineLevel="0" collapsed="false">
      <c r="A69" s="6" t="n">
        <v>68</v>
      </c>
      <c r="B69" s="6" t="s">
        <v>32</v>
      </c>
      <c r="C69" s="7" t="n">
        <v>46365</v>
      </c>
      <c r="D69" s="6"/>
      <c r="E69" s="6" t="s">
        <v>177</v>
      </c>
      <c r="F69" s="6"/>
      <c r="G69" s="6"/>
      <c r="H69" s="6"/>
      <c r="I69" s="6"/>
      <c r="J69" s="6"/>
      <c r="K69" s="8"/>
      <c r="L69" s="6"/>
      <c r="M69" s="6"/>
      <c r="N69" s="6" t="s">
        <v>178</v>
      </c>
    </row>
    <row r="70" customFormat="false" ht="23.25" hidden="false" customHeight="true" outlineLevel="0" collapsed="false">
      <c r="A70" s="9" t="n">
        <v>69</v>
      </c>
      <c r="B70" s="9" t="s">
        <v>43</v>
      </c>
      <c r="C70" s="10" t="n">
        <v>46366</v>
      </c>
      <c r="D70" s="9"/>
      <c r="E70" s="9" t="s">
        <v>177</v>
      </c>
      <c r="F70" s="9"/>
      <c r="G70" s="9"/>
      <c r="H70" s="9"/>
      <c r="I70" s="9"/>
      <c r="J70" s="9"/>
      <c r="K70" s="9"/>
      <c r="L70" s="9"/>
      <c r="M70" s="9"/>
      <c r="N70" s="9" t="s">
        <v>178</v>
      </c>
    </row>
    <row r="71" customFormat="false" ht="23.25" hidden="false" customHeight="true" outlineLevel="0" collapsed="false">
      <c r="A71" s="9" t="n">
        <v>70</v>
      </c>
      <c r="B71" s="9" t="s">
        <v>62</v>
      </c>
      <c r="C71" s="10" t="n">
        <v>46367</v>
      </c>
      <c r="D71" s="9"/>
      <c r="E71" s="9" t="s">
        <v>177</v>
      </c>
      <c r="F71" s="9"/>
      <c r="G71" s="9"/>
      <c r="H71" s="9"/>
      <c r="I71" s="9"/>
      <c r="J71" s="9"/>
      <c r="K71" s="9"/>
      <c r="L71" s="9"/>
      <c r="M71" s="9"/>
      <c r="N71" s="9" t="s">
        <v>178</v>
      </c>
    </row>
    <row r="72" customFormat="false" ht="23.25" hidden="false" customHeight="true" outlineLevel="0" collapsed="false">
      <c r="A72" s="9" t="n">
        <v>71</v>
      </c>
      <c r="B72" s="9" t="s">
        <v>73</v>
      </c>
      <c r="C72" s="10" t="n">
        <v>46368</v>
      </c>
      <c r="D72" s="9"/>
      <c r="E72" s="9" t="s">
        <v>177</v>
      </c>
      <c r="F72" s="9"/>
      <c r="G72" s="9"/>
      <c r="H72" s="9"/>
      <c r="I72" s="9"/>
      <c r="J72" s="9"/>
      <c r="K72" s="9"/>
      <c r="L72" s="9"/>
      <c r="M72" s="9"/>
      <c r="N72" s="9" t="s">
        <v>178</v>
      </c>
    </row>
    <row r="73" customFormat="false" ht="23.25" hidden="false" customHeight="true" outlineLevel="0" collapsed="false">
      <c r="A73" s="9" t="n">
        <v>72</v>
      </c>
      <c r="B73" s="9" t="s">
        <v>82</v>
      </c>
      <c r="C73" s="10" t="n">
        <v>46369</v>
      </c>
      <c r="D73" s="9"/>
      <c r="E73" s="9" t="s">
        <v>177</v>
      </c>
      <c r="F73" s="9"/>
      <c r="G73" s="9"/>
      <c r="H73" s="9"/>
      <c r="I73" s="9"/>
      <c r="J73" s="9"/>
      <c r="K73" s="9"/>
      <c r="L73" s="9"/>
      <c r="M73" s="9"/>
      <c r="N73" s="9" t="s">
        <v>178</v>
      </c>
    </row>
    <row r="74" customFormat="false" ht="23.25" hidden="false" customHeight="true" outlineLevel="0" collapsed="false">
      <c r="A74" s="9" t="n">
        <v>73</v>
      </c>
      <c r="B74" s="9" t="s">
        <v>92</v>
      </c>
      <c r="C74" s="10" t="n">
        <v>46370</v>
      </c>
      <c r="D74" s="9"/>
      <c r="E74" s="9" t="s">
        <v>177</v>
      </c>
      <c r="F74" s="9"/>
      <c r="G74" s="9"/>
      <c r="H74" s="9"/>
      <c r="I74" s="9"/>
      <c r="J74" s="9"/>
      <c r="K74" s="9"/>
      <c r="L74" s="9"/>
      <c r="M74" s="9"/>
      <c r="N74" s="9" t="s">
        <v>178</v>
      </c>
    </row>
    <row r="75" customFormat="false" ht="23.25" hidden="false" customHeight="true" outlineLevel="0" collapsed="false">
      <c r="A75" s="9" t="n">
        <v>74</v>
      </c>
      <c r="B75" s="9" t="s">
        <v>102</v>
      </c>
      <c r="C75" s="10" t="n">
        <v>46371</v>
      </c>
      <c r="D75" s="9" t="s">
        <v>161</v>
      </c>
      <c r="E75" s="9" t="s">
        <v>220</v>
      </c>
      <c r="F75" s="9" t="s">
        <v>221</v>
      </c>
      <c r="G75" s="9" t="s">
        <v>222</v>
      </c>
      <c r="H75" s="9" t="s">
        <v>223</v>
      </c>
      <c r="I75" s="9" t="s">
        <v>224</v>
      </c>
      <c r="J75" s="9" t="s">
        <v>225</v>
      </c>
      <c r="K75" s="9" t="s">
        <v>226</v>
      </c>
      <c r="L75" s="9" t="s">
        <v>227</v>
      </c>
      <c r="M75" s="9" t="s">
        <v>228</v>
      </c>
      <c r="N75" s="9" t="s">
        <v>152</v>
      </c>
    </row>
    <row r="76" customFormat="false" ht="68.25" hidden="false" customHeight="true" outlineLevel="0" collapsed="false">
      <c r="A76" s="11" t="n">
        <v>75</v>
      </c>
      <c r="B76" s="11" t="s">
        <v>32</v>
      </c>
      <c r="C76" s="12" t="n">
        <v>46372</v>
      </c>
      <c r="D76" s="11"/>
      <c r="E76" s="11" t="s">
        <v>177</v>
      </c>
      <c r="F76" s="11"/>
      <c r="G76" s="11"/>
      <c r="H76" s="11"/>
      <c r="I76" s="11"/>
      <c r="J76" s="11"/>
      <c r="K76" s="13"/>
      <c r="L76" s="11"/>
      <c r="M76" s="11"/>
      <c r="N76" s="11" t="s">
        <v>178</v>
      </c>
    </row>
    <row r="77" customFormat="false" ht="23.25" hidden="false" customHeight="true" outlineLevel="0" collapsed="false">
      <c r="A77" s="9" t="n">
        <v>76</v>
      </c>
      <c r="B77" s="9" t="s">
        <v>43</v>
      </c>
      <c r="C77" s="10" t="n">
        <v>46373</v>
      </c>
      <c r="D77" s="9"/>
      <c r="E77" s="9" t="s">
        <v>177</v>
      </c>
      <c r="F77" s="9"/>
      <c r="G77" s="9"/>
      <c r="H77" s="9"/>
      <c r="I77" s="9"/>
      <c r="J77" s="9"/>
      <c r="K77" s="9"/>
      <c r="L77" s="9"/>
      <c r="M77" s="9"/>
      <c r="N77" s="9" t="s">
        <v>178</v>
      </c>
    </row>
    <row r="78" customFormat="false" ht="23.25" hidden="false" customHeight="true" outlineLevel="0" collapsed="false">
      <c r="A78" s="9" t="n">
        <v>77</v>
      </c>
      <c r="B78" s="9" t="s">
        <v>62</v>
      </c>
      <c r="C78" s="10" t="n">
        <v>46374</v>
      </c>
      <c r="D78" s="9"/>
      <c r="E78" s="9" t="s">
        <v>177</v>
      </c>
      <c r="F78" s="9"/>
      <c r="G78" s="9"/>
      <c r="H78" s="9"/>
      <c r="I78" s="9"/>
      <c r="J78" s="9"/>
      <c r="K78" s="9"/>
      <c r="L78" s="9"/>
      <c r="M78" s="9"/>
      <c r="N78" s="9" t="s">
        <v>178</v>
      </c>
    </row>
    <row r="79" customFormat="false" ht="23.25" hidden="false" customHeight="true" outlineLevel="0" collapsed="false">
      <c r="A79" s="9" t="n">
        <v>78</v>
      </c>
      <c r="B79" s="9" t="s">
        <v>73</v>
      </c>
      <c r="C79" s="10" t="n">
        <v>46375</v>
      </c>
      <c r="D79" s="9"/>
      <c r="E79" s="9" t="s">
        <v>177</v>
      </c>
      <c r="F79" s="9"/>
      <c r="G79" s="9"/>
      <c r="H79" s="9"/>
      <c r="I79" s="9"/>
      <c r="J79" s="9"/>
      <c r="K79" s="9"/>
      <c r="L79" s="9"/>
      <c r="M79" s="9"/>
      <c r="N79" s="9" t="s">
        <v>178</v>
      </c>
    </row>
    <row r="80" customFormat="false" ht="23.25" hidden="false" customHeight="true" outlineLevel="0" collapsed="false">
      <c r="A80" s="9" t="n">
        <v>79</v>
      </c>
      <c r="B80" s="9" t="s">
        <v>82</v>
      </c>
      <c r="C80" s="10" t="n">
        <v>46376</v>
      </c>
      <c r="D80" s="9"/>
      <c r="E80" s="9" t="s">
        <v>177</v>
      </c>
      <c r="F80" s="9"/>
      <c r="G80" s="9"/>
      <c r="H80" s="9"/>
      <c r="I80" s="9"/>
      <c r="J80" s="9"/>
      <c r="K80" s="9"/>
      <c r="L80" s="9"/>
      <c r="M80" s="9"/>
      <c r="N80" s="9" t="s">
        <v>178</v>
      </c>
    </row>
  </sheetData>
  <autoFilter ref="A1:N80"/>
  <dataValidations count="1">
    <dataValidation allowBlank="true" errorStyle="stop" operator="between" showDropDown="false" showErrorMessage="false" showInputMessage="false" sqref="N2:N80" type="list">
      <formula1>"Cần chủ đề,Ý tưởng,Đã kiểm tra nguồn,Đã viết kịch bản,Đã có video,Đã đăng"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4"/>
  </cols>
  <sheetData>
    <row r="1" customFormat="false" ht="15" hidden="false" customHeight="true" outlineLevel="0" collapsed="false">
      <c r="A1" s="14" t="s">
        <v>229</v>
      </c>
      <c r="B1" s="14" t="s">
        <v>230</v>
      </c>
    </row>
    <row r="2" customFormat="false" ht="15" hidden="false" customHeight="true" outlineLevel="0" collapsed="false">
      <c r="A2" s="15" t="s">
        <v>231</v>
      </c>
      <c r="B2" s="15" t="n">
        <f aca="false">COUNTA('Lịch đăng'!$A$2:$A$80)</f>
        <v>79</v>
      </c>
    </row>
    <row r="3" customFormat="false" ht="15" hidden="false" customHeight="true" outlineLevel="0" collapsed="false">
      <c r="A3" s="15" t="s">
        <v>26</v>
      </c>
      <c r="B3" s="15" t="n">
        <f aca="false">COUNTIF('Lịch đăng'!$N$2:$N$80,"Đã đăng")</f>
        <v>8</v>
      </c>
    </row>
    <row r="4" customFormat="false" ht="15" hidden="false" customHeight="true" outlineLevel="0" collapsed="false">
      <c r="A4" s="15" t="s">
        <v>232</v>
      </c>
      <c r="B4" s="15" t="n">
        <f aca="false">COUNTIF('Lịch đăng'!$N$2:$N$80,"Cần chủ đề")</f>
        <v>54</v>
      </c>
    </row>
    <row r="5" customFormat="false" ht="15" hidden="false" customHeight="true" outlineLevel="0" collapsed="false">
      <c r="A5" s="15" t="s">
        <v>233</v>
      </c>
      <c r="B5" s="15" t="n">
        <f aca="false">B2-B3-B4</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2026-10-07T14:19:18Z</dcterms:created>
  <dc:creator>openpyxl</dc:creator>
  <dc:description/>
  <dc:language>en-US</dc:language>
  <cp:lastModifiedBy/>
  <dcterms:modified xsi:type="dcterms:W3CDTF">2026-10-13T00:48:27Z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