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<sst xmlns="http://schemas.openxmlformats.org/spreadsheetml/2006/main" count="327" uniqueCount="195">
  <si>
    <t xml:space="preserve">Lịch nội dung TikTok Adtek</t>
  </si>
  <si>
    <t xml:space="preserve">Cập nhật</t>
  </si>
  <si>
    <t xml:space="preserve">07/10/2026. Kênh @adtek.growth.marketing. 4 video mỗi tuần (thứ Sáu, Chủ nhật, thứ Hai, thứ Tư) từ 09/10/2026.</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</si>
  <si>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</si>
  <si>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</si>
  <si>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</si>
  <si>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</si>
  <si>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</si>
  <si>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</si>
  <si>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</si>
  <si>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</si>
  <si>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</si>
  <si>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</si>
  <si>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</si>
  <si>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</si>
  <si>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</si>
  <si>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</si>
  <si>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</si>
  <si>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</si>
  <si>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</si>
  <si>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</si>
  <si>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</si>
  <si>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</si>
  <si>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</si>
  <si>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</si>
  <si>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</si>
  <si>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</si>
  <si>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</si>
  <si>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</si>
  <si>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</si>
  <si>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</si>
  <si>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</si>
  <si>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Sáu</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</si>
  <si>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</si>
  <si>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</si>
  <si>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</si>
  <si>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</si>
  <si>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</si>
  <si>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</si>
  <si>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</si>
  <si>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Kịch bản đã viết (scripts/khu-cong-nghiep-fdi/4.json), chờ giọng
• Giọng v4 chưa huấn luyện; video trên trang hub</t>
  </si>
  <si>
    <t xml:space="preserve">marketing khu công nghiệp; thu hút fdi</t>
  </si>
  <si>
    <t xml:space="preserve">Thấp, giá trị cao</t>
  </si>
  <si>
    <t xml:space="preserve">Đã có video</t>
  </si>
  <si>
    <t xml:space="preserve">Chủ nhật</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</si>
  <si>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</si>
  <si>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</si>
  <si>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</si>
  <si>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</si>
  <si>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</si>
  <si>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</si>
  <si>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</si>
  <si>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t>
  </si>
  <si>
    <t xml:space="preserve">quảng cáo tin nhắn; zalo oa; chốt đơn inbox</t>
  </si>
  <si>
    <t xml:space="preserve">Cao</t>
  </si>
  <si>
    <t xml:space="preserve">Ý tưởng</t>
  </si>
  <si>
    <t xml:space="preserve">Thứ Hai</t>
  </si>
  <si>
    <t xml:space="preserve">Khách hàng của bạn đang hỏi AI</t>
  </si>
  <si>
    <t xml:space="preserve">Mỗi tuần 900 triệu người hỏi ChatGPT. Có ai được nó gợi ý tên thương hiệu của bạn chưa?</t>
  </si>
  <si>
    <t xml:space="preserve">• 900 triệu người dùng hằng tuần (từ 800 triệu, 10/2025); hơn 50 triệu người trả phí
• AI Mode vượt 1 tỷ người dùng hằng tháng; AI Overviews hơn 2.5 tỷ; AI Mode có tiếng Việt từ 07/10/2025
• 81% tương tác với AI hằng ngày, cao nhất Đông Nam Á (Indonesia 80%, Thái Lan 74%); 96% sẵn sàng chia sẻ dữ liệu với AI agent
• Google Lens hơn 25 tỷ lượt tìm mỗi tháng (2024: ~20 tỷ, 1/4 có ý định mua hàng)</t>
  </si>
  <si>
    <t xml:space="preserve">• OpenAI, "Scaling AI for everyone", 27/02/2026
• Google, I/O 2026 (Sundar Pichai), 05/2026; Google Search blog, 07/10/2025
• Google, Temasek, Bain &amp; Company, e-Conomy SEA 2025, 11/2025
• Google Việt Nam Blog, 03/2026; Google, 10/2024</t>
  </si>
  <si>
    <t xml:space="preserve">https://openai.com/index/scaling-ai-for-everyone/
https://blog.google/products/search/ai-mode-expands-languages-locations/
https://economysea.withgoogle.com/
https://vietnamese.googleblog.com/2026/03/ai-ang-thay-oi-cach-nguoi-tieu-dung-tim.html</t>
  </si>
  <si>
    <t xml:space="preserve">• Chưa mở được trang gốc (mạng chặn), đối chiếu qua TechCrunch
• Chưa mở được trang gốc (mạng chặn), đối chiếu qua Engadget
• Chưa mở được trang gốc (mạng chặn), đối chiếu qua Việt Nam News, VnEconomy
• Chưa mở được trang gốc (mạng chặn), đối chiếu qua Advertising Vietnam</t>
  </si>
  <si>
    <t xml:space="preserve">• Số người dùng là toàn cầu
• Dữ liệu Việt Nam</t>
  </si>
  <si>
    <t xml:space="preserve">chatgpt; ai mode; người việt dùng ai</t>
  </si>
  <si>
    <t xml:space="preserve">Thứ Tư</t>
  </si>
  <si>
    <t xml:space="preserve">SEO</t>
  </si>
  <si>
    <t xml:space="preserve">Đứng top 1 Google vẫn mất khách</t>
  </si>
  <si>
    <t xml:space="preserve">Đứng top 1 Google, vì sao vẫn mất hơn nửa lượt bấm?</t>
  </si>
  <si>
    <t xml:space="preserve">• CTR trang top 1 thấp hơn 58% khi có AI Overview (300,000 từ khóa, 12/2023 so với 12/2025); lần đo 04/2025 là 34.5%
• 37.9% URL được trích nằm trong top 10, giảm từ 76.1% (07/2025); 31% nằm ngoài top 100
• Dự đoán giảm 25% (02/2024); khảo sát 2026: chỉ ~1/3 người dùng thấy chatbot ngang công cụ tìm kiếm; hơn 2/3 vẫn đọc tiếp sau AI Overview</t>
  </si>
  <si>
    <t xml:space="preserve">• Ahrefs, "AI Overviews Reduce Clicks by 58%", 05/2026
• Ahrefs, "38% of AI Overview Citations Pull From The Top 10", 02/03/2026
• Gartner, 19/02/2024 và 20/01/2026</t>
  </si>
  <si>
    <t xml:space="preserve">https://ahrefs.com/blog/ai-overviews-reduce-clicks-update/
https://ahrefs.com/blog/ai-overview-citations-top-10/
https://www.gartner.com/en/newsroom/press-releases/2024-02-19-gartner-predicts-search-engine-volume-will-drop-25-percent-by-2026-due-to-ai-chatbots-and-other-virtual-agents</t>
  </si>
  <si>
    <t xml:space="preserve">• Chưa mở được trang gốc (mạng chặn), đối chiếu qua Business Wire
• Chưa mở được trang gốc (mạng chặn), đối chiếu qua đoạn trích ahrefs.com
• Chưa mở được trang gốc (mạng chặn), đối chiếu qua Demand Gen Report</t>
  </si>
  <si>
    <t xml:space="preserve">• Ahrefs lưu ý một phần chênh lệch do công cụ đo tốt hơn, nên nói rõ
• Khảo sát 377 người Mỹ, mẫu nhỏ</t>
  </si>
  <si>
    <t xml:space="preserve">seo 2026; ai overview; seo có còn hiệu quả</t>
  </si>
  <si>
    <t xml:space="preserve">Growth Marketing</t>
  </si>
  <si>
    <t xml:space="preserve">Khách bỏ đi ở phút cuối</t>
  </si>
  <si>
    <t xml:space="preserve">Cứ 10 người bỏ hàng vào giỏ, bao nhiêu người thật sự thanh toán?</t>
  </si>
  <si>
    <t xml:space="preserve">• Tỷ lệ bỏ giỏ trung bình 70.22% (50 nghiên cứu); lý do số 1 là phí phát sinh; tối ưu bước thanh toán tăng chuyển đổi tới 35.26%
• 71% kỳ vọng được cá nhân hóa; 76% bực khi không được; doanh nghiệp tăng trưởng nhanh có doanh thu từ cá nhân hóa cao hơn 40%
• 88% người tiêu dùng có xu hướng mua hơn khi được cá nhân hóa theo thời gian thực; chỉ 44% thương hiệu làm được; khảo sát 7,600 người, 18 quốc gia</t>
  </si>
  <si>
    <t xml:space="preserve">• Baymard Institute, Cart Abandonment Rate Statistics, cập nhật 09/2025
• McKinsey &amp; Company, Next in Personalization, 11/2021
• Twilio, State of Customer Engagement Report 2025, 03/06/2025</t>
  </si>
  <si>
    <t xml:space="preserve">https://baymard.com/lists/cart-abandonment-rate
https://www.mckinsey.com/capabilities/growth-marketing-and-sales/our-insights/the-value-of-getting-personalization-right-or-wrong-is-multiplying
https://www.twilio.com/en-us/press/releases/socer-2025</t>
  </si>
  <si>
    <t xml:space="preserve">• Chưa mở được trang gốc (mạng chặn), đối chiếu qua eMarketer
• Chưa mở được trang gốc (mạng chặn), đối chiếu qua đoạn trích mckinsey.com
• Chưa mở được trang gốc (mạng chặn), đối chiếu qua investors.twilio.com</t>
  </si>
  <si>
    <t xml:space="preserve">• Tỷ lệ từng nguyên nhân khác nhau theo năm, dùng 70.22% làm số chính
• Dữ liệu 2021, ghi rõ năm</t>
  </si>
  <si>
    <t xml:space="preserve">bỏ giỏ hàng; tăng tỷ lệ chuyển đổi; cá nhân hóa</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</si>
  <si>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</si>
  <si>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</si>
  <si>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</si>
  <si>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</si>
  <si>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</si>
  <si>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</si>
  <si>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</si>
  <si>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</si>
  <si>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</si>
  <si>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</si>
  <si>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</si>
  <si>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</si>
  <si>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</si>
  <si>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</si>
  <si>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</si>
  <si>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</si>
  <si>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</si>
  <si>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</si>
  <si>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</si>
  <si>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</si>
  <si>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</si>
  <si>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</si>
  <si>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</si>
  <si>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</si>
  <si>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</si>
  <si>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</si>
  <si>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</si>
  <si>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</si>
  <si>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</si>
  <si>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</si>
  <si>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</si>
  <si>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</si>
  <si>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</si>
  <si>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</si>
  <si>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</si>
  <si>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</si>
  <si>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</si>
  <si>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</si>
  <si>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</si>
  <si>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</si>
  <si>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</si>
  <si>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</si>
  <si>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</si>
  <si>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</si>
  <si>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</si>
  <si>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</si>
  <si>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</si>
  <si>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</si>
  <si>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</si>
  <si>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</si>
  <si>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</si>
  <si>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</si>
  <si>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</si>
  <si>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</si>
  <si>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</si>
  <si>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</si>
  <si>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</si>
  <si>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</si>
  <si>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</si>
  <si>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</si>
  <si>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</si>
  <si>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Slot trống: chủ đề trend Claude tự chọn khi viết kịch bản thứ Bảy</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</si>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</sst>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3F6FB"/>
        <bgColor rgb="FFFFFFFF"/>
      </patternFill>
    </fill>
    <fill>
      <patternFill patternType="solid">
        <fgColor rgb="FFFFF4E5"/>
        <bgColor rgb="FFF3F6FB"/>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1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46304</v>
      </c>
      <c r="D5" s="6" t="s">
        <v>33</v>
      </c>
      <c r="E5" s="6" t="s">
        <v>34</v>
      </c>
      <c r="F5" s="6" t="s">
        <v>35</v>
      </c>
      <c r="G5" s="6" t="s">
        <v>36</v>
      </c>
      <c r="H5" s="6" t="s">
        <v>37</v>
      </c>
      <c r="I5" s="6" t="s">
        <v>38</v>
      </c>
      <c r="J5" s="6" t="s">
        <v>39</v>
      </c>
      <c r="K5" s="8" t="s">
        <v>40</v>
      </c>
      <c r="L5" s="6" t="s">
        <v>41</v>
      </c>
      <c r="M5" s="6" t="s">
        <v>42</v>
      </c>
      <c r="N5" s="6" t="s">
        <v>43</v>
      </c>
    </row>
    <row r="6" customFormat="false" ht="68.25" hidden="false" customHeight="true" outlineLevel="0" collapsed="false">
      <c r="A6" s="6" t="n">
        <v>5</v>
      </c>
      <c r="B6" s="6" t="s">
        <v>44</v>
      </c>
      <c r="C6" s="7" t="n">
        <v>46306</v>
      </c>
      <c r="D6" s="6" t="s">
        <v>45</v>
      </c>
      <c r="E6" s="6" t="s">
        <v>46</v>
      </c>
      <c r="F6" s="6" t="s">
        <v>47</v>
      </c>
      <c r="G6" s="6" t="s">
        <v>48</v>
      </c>
      <c r="H6" s="6" t="s">
        <v>49</v>
      </c>
      <c r="I6" s="6" t="s">
        <v>50</v>
      </c>
      <c r="J6" s="6" t="s">
        <v>51</v>
      </c>
      <c r="K6" s="8" t="s">
        <v>52</v>
      </c>
      <c r="L6" s="6" t="s">
        <v>53</v>
      </c>
      <c r="M6" s="6" t="s">
        <v>54</v>
      </c>
      <c r="N6" s="6" t="s">
        <v>55</v>
      </c>
    </row>
    <row r="7" customFormat="false" ht="102" hidden="false" customHeight="true" outlineLevel="0" collapsed="false">
      <c r="A7" s="6" t="n">
        <v>6</v>
      </c>
      <c r="B7" s="6" t="s">
        <v>56</v>
      </c>
      <c r="C7" s="7" t="n">
        <v>46307</v>
      </c>
      <c r="D7" s="6" t="s">
        <v>27</v>
      </c>
      <c r="E7" s="6" t="s">
        <v>57</v>
      </c>
      <c r="F7" s="6" t="s">
        <v>58</v>
      </c>
      <c r="G7" s="6" t="s">
        <v>59</v>
      </c>
      <c r="H7" s="6" t="s">
        <v>60</v>
      </c>
      <c r="I7" s="6" t="s">
        <v>61</v>
      </c>
      <c r="J7" s="6" t="s">
        <v>62</v>
      </c>
      <c r="K7" s="8" t="s">
        <v>63</v>
      </c>
      <c r="L7" s="6" t="s">
        <v>64</v>
      </c>
      <c r="M7" s="6" t="s">
        <v>54</v>
      </c>
      <c r="N7" s="6" t="s">
        <v>55</v>
      </c>
    </row>
    <row r="8" customFormat="false" ht="79.5" hidden="false" customHeight="true" outlineLevel="0" collapsed="false">
      <c r="A8" s="6" t="n">
        <v>7</v>
      </c>
      <c r="B8" s="6" t="s">
        <v>65</v>
      </c>
      <c r="C8" s="7" t="n">
        <v>46309</v>
      </c>
      <c r="D8" s="6" t="s">
        <v>66</v>
      </c>
      <c r="E8" s="6" t="s">
        <v>67</v>
      </c>
      <c r="F8" s="6" t="s">
        <v>68</v>
      </c>
      <c r="G8" s="6" t="s">
        <v>69</v>
      </c>
      <c r="H8" s="6" t="s">
        <v>70</v>
      </c>
      <c r="I8" s="6" t="s">
        <v>71</v>
      </c>
      <c r="J8" s="6" t="s">
        <v>72</v>
      </c>
      <c r="K8" s="8" t="s">
        <v>73</v>
      </c>
      <c r="L8" s="6" t="s">
        <v>74</v>
      </c>
      <c r="M8" s="6" t="s">
        <v>54</v>
      </c>
      <c r="N8" s="6" t="s">
        <v>55</v>
      </c>
    </row>
    <row r="9" customFormat="false" ht="102" hidden="false" customHeight="true" outlineLevel="0" collapsed="false">
      <c r="A9" s="9" t="n">
        <v>8</v>
      </c>
      <c r="B9" s="9" t="s">
        <v>32</v>
      </c>
      <c r="C9" s="10" t="n">
        <v>46311</v>
      </c>
      <c r="D9" s="9" t="s">
        <v>75</v>
      </c>
      <c r="E9" s="9" t="s">
        <v>76</v>
      </c>
      <c r="F9" s="9" t="s">
        <v>77</v>
      </c>
      <c r="G9" s="9" t="s">
        <v>78</v>
      </c>
      <c r="H9" s="9" t="s">
        <v>79</v>
      </c>
      <c r="I9" s="9" t="s">
        <v>80</v>
      </c>
      <c r="J9" s="9" t="s">
        <v>81</v>
      </c>
      <c r="K9" s="11" t="s">
        <v>82</v>
      </c>
      <c r="L9" s="9" t="s">
        <v>83</v>
      </c>
      <c r="M9" s="9" t="s">
        <v>54</v>
      </c>
      <c r="N9" s="9" t="s">
        <v>55</v>
      </c>
    </row>
    <row r="10" customFormat="false" ht="135.75" hidden="false" customHeight="true" outlineLevel="0" collapsed="false">
      <c r="A10" s="9" t="n">
        <v>9</v>
      </c>
      <c r="B10" s="9" t="s">
        <v>44</v>
      </c>
      <c r="C10" s="10" t="n">
        <v>46313</v>
      </c>
      <c r="D10" s="9" t="s">
        <v>84</v>
      </c>
      <c r="E10" s="9" t="s">
        <v>85</v>
      </c>
      <c r="F10" s="9" t="s">
        <v>86</v>
      </c>
      <c r="G10" s="9" t="s">
        <v>87</v>
      </c>
      <c r="H10" s="9" t="s">
        <v>88</v>
      </c>
      <c r="I10" s="9" t="s">
        <v>89</v>
      </c>
      <c r="J10" s="9" t="s">
        <v>90</v>
      </c>
      <c r="K10" s="11" t="s">
        <v>91</v>
      </c>
      <c r="L10" s="9" t="s">
        <v>92</v>
      </c>
      <c r="M10" s="9" t="s">
        <v>54</v>
      </c>
      <c r="N10" s="9" t="s">
        <v>55</v>
      </c>
    </row>
    <row r="11" customFormat="false" ht="124.5" hidden="false" customHeight="true" outlineLevel="0" collapsed="false">
      <c r="A11" s="9" t="n">
        <v>10</v>
      </c>
      <c r="B11" s="9" t="s">
        <v>56</v>
      </c>
      <c r="C11" s="10" t="n">
        <v>46314</v>
      </c>
      <c r="D11" s="9" t="s">
        <v>45</v>
      </c>
      <c r="E11" s="9" t="s">
        <v>93</v>
      </c>
      <c r="F11" s="9" t="s">
        <v>94</v>
      </c>
      <c r="G11" s="9" t="s">
        <v>95</v>
      </c>
      <c r="H11" s="9" t="s">
        <v>96</v>
      </c>
      <c r="I11" s="9" t="s">
        <v>97</v>
      </c>
      <c r="J11" s="9" t="s">
        <v>98</v>
      </c>
      <c r="K11" s="11" t="s">
        <v>99</v>
      </c>
      <c r="L11" s="9" t="s">
        <v>100</v>
      </c>
      <c r="M11" s="9" t="s">
        <v>54</v>
      </c>
      <c r="N11" s="9" t="s">
        <v>55</v>
      </c>
    </row>
    <row r="12" customFormat="false" ht="90.75" hidden="false" customHeight="true" outlineLevel="0" collapsed="false">
      <c r="A12" s="9" t="n">
        <v>11</v>
      </c>
      <c r="B12" s="9" t="s">
        <v>65</v>
      </c>
      <c r="C12" s="10" t="n">
        <v>46316</v>
      </c>
      <c r="D12" s="9" t="s">
        <v>101</v>
      </c>
      <c r="E12" s="9" t="s">
        <v>102</v>
      </c>
      <c r="F12" s="9" t="s">
        <v>103</v>
      </c>
      <c r="G12" s="9" t="s">
        <v>104</v>
      </c>
      <c r="H12" s="9" t="s">
        <v>105</v>
      </c>
      <c r="I12" s="9" t="s">
        <v>106</v>
      </c>
      <c r="J12" s="9" t="s">
        <v>107</v>
      </c>
      <c r="K12" s="11" t="s">
        <v>108</v>
      </c>
      <c r="L12" s="9" t="s">
        <v>109</v>
      </c>
      <c r="M12" s="9" t="s">
        <v>110</v>
      </c>
      <c r="N12" s="9" t="s">
        <v>55</v>
      </c>
    </row>
    <row r="13" customFormat="false" ht="102" hidden="false" customHeight="true" outlineLevel="0" collapsed="false">
      <c r="A13" s="6" t="n">
        <v>12</v>
      </c>
      <c r="B13" s="6" t="s">
        <v>32</v>
      </c>
      <c r="C13" s="7" t="n">
        <v>46318</v>
      </c>
      <c r="D13" s="6" t="s">
        <v>101</v>
      </c>
      <c r="E13" s="6" t="s">
        <v>111</v>
      </c>
      <c r="F13" s="6" t="s">
        <v>112</v>
      </c>
      <c r="G13" s="6" t="s">
        <v>113</v>
      </c>
      <c r="H13" s="6" t="s">
        <v>114</v>
      </c>
      <c r="I13" s="6" t="s">
        <v>115</v>
      </c>
      <c r="J13" s="6" t="s">
        <v>116</v>
      </c>
      <c r="K13" s="8" t="s">
        <v>117</v>
      </c>
      <c r="L13" s="6" t="s">
        <v>118</v>
      </c>
      <c r="M13" s="6" t="s">
        <v>110</v>
      </c>
      <c r="N13" s="6" t="s">
        <v>55</v>
      </c>
    </row>
    <row r="14" customFormat="false" ht="79.5" hidden="false" customHeight="true" outlineLevel="0" collapsed="false">
      <c r="A14" s="6" t="n">
        <v>13</v>
      </c>
      <c r="B14" s="6" t="s">
        <v>44</v>
      </c>
      <c r="C14" s="7" t="n">
        <v>46320</v>
      </c>
      <c r="D14" s="6" t="s">
        <v>119</v>
      </c>
      <c r="E14" s="6" t="s">
        <v>120</v>
      </c>
      <c r="F14" s="6" t="s">
        <v>121</v>
      </c>
      <c r="G14" s="6" t="s">
        <v>122</v>
      </c>
      <c r="H14" s="6" t="s">
        <v>123</v>
      </c>
      <c r="I14" s="6" t="s">
        <v>124</v>
      </c>
      <c r="J14" s="6" t="s">
        <v>125</v>
      </c>
      <c r="K14" s="8" t="s">
        <v>126</v>
      </c>
      <c r="L14" s="6" t="s">
        <v>127</v>
      </c>
      <c r="M14" s="6" t="s">
        <v>54</v>
      </c>
      <c r="N14" s="6" t="s">
        <v>55</v>
      </c>
    </row>
    <row r="15" customFormat="false" ht="68.25" hidden="false" customHeight="true" outlineLevel="0" collapsed="false">
      <c r="A15" s="6" t="n">
        <v>14</v>
      </c>
      <c r="B15" s="6" t="s">
        <v>56</v>
      </c>
      <c r="C15" s="7" t="n">
        <v>46321</v>
      </c>
      <c r="D15" s="6" t="s">
        <v>128</v>
      </c>
      <c r="E15" s="6" t="s">
        <v>129</v>
      </c>
      <c r="F15" s="6" t="s">
        <v>130</v>
      </c>
      <c r="G15" s="6" t="s">
        <v>131</v>
      </c>
      <c r="H15" s="6" t="s">
        <v>132</v>
      </c>
      <c r="I15" s="6" t="s">
        <v>133</v>
      </c>
      <c r="J15" s="6" t="s">
        <v>134</v>
      </c>
      <c r="K15" s="8" t="s">
        <v>135</v>
      </c>
      <c r="L15" s="6" t="s">
        <v>136</v>
      </c>
      <c r="M15" s="6" t="s">
        <v>54</v>
      </c>
      <c r="N15" s="6" t="s">
        <v>55</v>
      </c>
    </row>
    <row r="16" customFormat="false" ht="57" hidden="false" customHeight="true" outlineLevel="0" collapsed="false">
      <c r="A16" s="6" t="n">
        <v>15</v>
      </c>
      <c r="B16" s="6" t="s">
        <v>65</v>
      </c>
      <c r="C16" s="7" t="n">
        <v>46323</v>
      </c>
      <c r="D16" s="6" t="s">
        <v>33</v>
      </c>
      <c r="E16" s="6" t="s">
        <v>137</v>
      </c>
      <c r="F16" s="6" t="s">
        <v>138</v>
      </c>
      <c r="G16" s="6" t="s">
        <v>139</v>
      </c>
      <c r="H16" s="6" t="s">
        <v>140</v>
      </c>
      <c r="I16" s="6" t="s">
        <v>141</v>
      </c>
      <c r="J16" s="6" t="s">
        <v>142</v>
      </c>
      <c r="K16" s="8" t="s">
        <v>143</v>
      </c>
      <c r="L16" s="6" t="s">
        <v>144</v>
      </c>
      <c r="M16" s="6" t="s">
        <v>110</v>
      </c>
      <c r="N16" s="6" t="s">
        <v>55</v>
      </c>
    </row>
    <row r="17" customFormat="false" ht="23.25" hidden="false" customHeight="true" outlineLevel="0" collapsed="false">
      <c r="A17" s="12" t="n">
        <v>16</v>
      </c>
      <c r="B17" s="12" t="s">
        <v>32</v>
      </c>
      <c r="C17" s="13" t="n">
        <v>46325</v>
      </c>
      <c r="D17" s="12"/>
      <c r="E17" s="12" t="s">
        <v>145</v>
      </c>
      <c r="F17" s="12"/>
      <c r="G17" s="12"/>
      <c r="H17" s="12"/>
      <c r="I17" s="12"/>
      <c r="J17" s="12"/>
      <c r="K17" s="12"/>
      <c r="L17" s="12"/>
      <c r="M17" s="12"/>
      <c r="N17" s="12" t="s">
        <v>146</v>
      </c>
    </row>
    <row r="18" customFormat="false" ht="23.25" hidden="false" customHeight="true" outlineLevel="0" collapsed="false">
      <c r="A18" s="12" t="n">
        <v>17</v>
      </c>
      <c r="B18" s="12" t="s">
        <v>44</v>
      </c>
      <c r="C18" s="13" t="n">
        <v>46327</v>
      </c>
      <c r="D18" s="12"/>
      <c r="E18" s="12" t="s">
        <v>145</v>
      </c>
      <c r="F18" s="12"/>
      <c r="G18" s="12"/>
      <c r="H18" s="12"/>
      <c r="I18" s="12"/>
      <c r="J18" s="12"/>
      <c r="K18" s="12"/>
      <c r="L18" s="12"/>
      <c r="M18" s="12"/>
      <c r="N18" s="12" t="s">
        <v>146</v>
      </c>
    </row>
    <row r="19" customFormat="false" ht="23.25" hidden="false" customHeight="true" outlineLevel="0" collapsed="false">
      <c r="A19" s="12" t="n">
        <v>18</v>
      </c>
      <c r="B19" s="12" t="s">
        <v>56</v>
      </c>
      <c r="C19" s="13" t="n">
        <v>46328</v>
      </c>
      <c r="D19" s="12"/>
      <c r="E19" s="12" t="s">
        <v>145</v>
      </c>
      <c r="F19" s="12"/>
      <c r="G19" s="12"/>
      <c r="H19" s="12"/>
      <c r="I19" s="12"/>
      <c r="J19" s="12"/>
      <c r="K19" s="12"/>
      <c r="L19" s="12"/>
      <c r="M19" s="12"/>
      <c r="N19" s="12" t="s">
        <v>146</v>
      </c>
    </row>
    <row r="20" customFormat="false" ht="23.25" hidden="false" customHeight="true" outlineLevel="0" collapsed="false">
      <c r="A20" s="12" t="n">
        <v>19</v>
      </c>
      <c r="B20" s="12" t="s">
        <v>65</v>
      </c>
      <c r="C20" s="13" t="n">
        <v>46330</v>
      </c>
      <c r="D20" s="12"/>
      <c r="E20" s="12" t="s">
        <v>145</v>
      </c>
      <c r="F20" s="12"/>
      <c r="G20" s="12"/>
      <c r="H20" s="12"/>
      <c r="I20" s="12"/>
      <c r="J20" s="12"/>
      <c r="K20" s="12"/>
      <c r="L20" s="12"/>
      <c r="M20" s="12"/>
      <c r="N20" s="12" t="s">
        <v>146</v>
      </c>
    </row>
    <row r="21" customFormat="false" ht="23.25" hidden="false" customHeight="true" outlineLevel="0" collapsed="false">
      <c r="A21" s="12" t="n">
        <v>20</v>
      </c>
      <c r="B21" s="12" t="s">
        <v>32</v>
      </c>
      <c r="C21" s="13" t="n">
        <v>46332</v>
      </c>
      <c r="D21" s="12"/>
      <c r="E21" s="12" t="s">
        <v>145</v>
      </c>
      <c r="F21" s="12"/>
      <c r="G21" s="12"/>
      <c r="H21" s="12"/>
      <c r="I21" s="12"/>
      <c r="J21" s="12"/>
      <c r="K21" s="12"/>
      <c r="L21" s="12"/>
      <c r="M21" s="12"/>
      <c r="N21" s="12" t="s">
        <v>146</v>
      </c>
    </row>
    <row r="22" customFormat="false" ht="23.25" hidden="false" customHeight="true" outlineLevel="0" collapsed="false">
      <c r="A22" s="12" t="n">
        <v>21</v>
      </c>
      <c r="B22" s="12" t="s">
        <v>44</v>
      </c>
      <c r="C22" s="13" t="n">
        <v>46334</v>
      </c>
      <c r="D22" s="12"/>
      <c r="E22" s="12" t="s">
        <v>145</v>
      </c>
      <c r="F22" s="12"/>
      <c r="G22" s="12"/>
      <c r="H22" s="12"/>
      <c r="I22" s="12"/>
      <c r="J22" s="12"/>
      <c r="K22" s="12"/>
      <c r="L22" s="12"/>
      <c r="M22" s="12"/>
      <c r="N22" s="12" t="s">
        <v>146</v>
      </c>
    </row>
    <row r="23" customFormat="false" ht="23.25" hidden="false" customHeight="true" outlineLevel="0" collapsed="false">
      <c r="A23" s="12" t="n">
        <v>22</v>
      </c>
      <c r="B23" s="12" t="s">
        <v>56</v>
      </c>
      <c r="C23" s="13" t="n">
        <v>46335</v>
      </c>
      <c r="D23" s="12"/>
      <c r="E23" s="12" t="s">
        <v>145</v>
      </c>
      <c r="F23" s="12"/>
      <c r="G23" s="12"/>
      <c r="H23" s="12"/>
      <c r="I23" s="12"/>
      <c r="J23" s="12"/>
      <c r="K23" s="12"/>
      <c r="L23" s="12"/>
      <c r="M23" s="12"/>
      <c r="N23" s="12" t="s">
        <v>146</v>
      </c>
    </row>
    <row r="24" customFormat="false" ht="102" hidden="false" customHeight="true" outlineLevel="0" collapsed="false">
      <c r="A24" s="6" t="n">
        <v>23</v>
      </c>
      <c r="B24" s="6" t="s">
        <v>65</v>
      </c>
      <c r="C24" s="7" t="n">
        <v>46337</v>
      </c>
      <c r="D24" s="6" t="s">
        <v>84</v>
      </c>
      <c r="E24" s="6" t="s">
        <v>147</v>
      </c>
      <c r="F24" s="6" t="s">
        <v>148</v>
      </c>
      <c r="G24" s="6" t="s">
        <v>149</v>
      </c>
      <c r="H24" s="6" t="s">
        <v>150</v>
      </c>
      <c r="I24" s="6" t="s">
        <v>151</v>
      </c>
      <c r="J24" s="6" t="s">
        <v>152</v>
      </c>
      <c r="K24" s="8" t="s">
        <v>153</v>
      </c>
      <c r="L24" s="6" t="s">
        <v>154</v>
      </c>
      <c r="M24" s="6" t="s">
        <v>54</v>
      </c>
      <c r="N24" s="6" t="s">
        <v>55</v>
      </c>
    </row>
    <row r="25" customFormat="false" ht="23.25" hidden="false" customHeight="true" outlineLevel="0" collapsed="false">
      <c r="A25" s="12" t="n">
        <v>24</v>
      </c>
      <c r="B25" s="12" t="s">
        <v>32</v>
      </c>
      <c r="C25" s="13" t="n">
        <v>46339</v>
      </c>
      <c r="D25" s="12"/>
      <c r="E25" s="12" t="s">
        <v>145</v>
      </c>
      <c r="F25" s="12"/>
      <c r="G25" s="12"/>
      <c r="H25" s="12"/>
      <c r="I25" s="12"/>
      <c r="J25" s="12"/>
      <c r="K25" s="12"/>
      <c r="L25" s="12"/>
      <c r="M25" s="12"/>
      <c r="N25" s="12" t="s">
        <v>146</v>
      </c>
    </row>
    <row r="26" customFormat="false" ht="23.25" hidden="false" customHeight="true" outlineLevel="0" collapsed="false">
      <c r="A26" s="12" t="n">
        <v>25</v>
      </c>
      <c r="B26" s="12" t="s">
        <v>44</v>
      </c>
      <c r="C26" s="13" t="n">
        <v>46341</v>
      </c>
      <c r="D26" s="12"/>
      <c r="E26" s="12" t="s">
        <v>145</v>
      </c>
      <c r="F26" s="12"/>
      <c r="G26" s="12"/>
      <c r="H26" s="12"/>
      <c r="I26" s="12"/>
      <c r="J26" s="12"/>
      <c r="K26" s="12"/>
      <c r="L26" s="12"/>
      <c r="M26" s="12"/>
      <c r="N26" s="12" t="s">
        <v>146</v>
      </c>
    </row>
    <row r="27" customFormat="false" ht="23.25" hidden="false" customHeight="true" outlineLevel="0" collapsed="false">
      <c r="A27" s="12" t="n">
        <v>26</v>
      </c>
      <c r="B27" s="12" t="s">
        <v>56</v>
      </c>
      <c r="C27" s="13" t="n">
        <v>46342</v>
      </c>
      <c r="D27" s="12"/>
      <c r="E27" s="12" t="s">
        <v>145</v>
      </c>
      <c r="F27" s="12"/>
      <c r="G27" s="12"/>
      <c r="H27" s="12"/>
      <c r="I27" s="12"/>
      <c r="J27" s="12"/>
      <c r="K27" s="12"/>
      <c r="L27" s="12"/>
      <c r="M27" s="12"/>
      <c r="N27" s="12" t="s">
        <v>146</v>
      </c>
    </row>
    <row r="28" customFormat="false" ht="23.25" hidden="false" customHeight="true" outlineLevel="0" collapsed="false">
      <c r="A28" s="12" t="n">
        <v>27</v>
      </c>
      <c r="B28" s="12" t="s">
        <v>65</v>
      </c>
      <c r="C28" s="13" t="n">
        <v>46344</v>
      </c>
      <c r="D28" s="12"/>
      <c r="E28" s="12" t="s">
        <v>145</v>
      </c>
      <c r="F28" s="12"/>
      <c r="G28" s="12"/>
      <c r="H28" s="12"/>
      <c r="I28" s="12"/>
      <c r="J28" s="12"/>
      <c r="K28" s="12"/>
      <c r="L28" s="12"/>
      <c r="M28" s="12"/>
      <c r="N28" s="12" t="s">
        <v>146</v>
      </c>
    </row>
    <row r="29" customFormat="false" ht="23.25" hidden="false" customHeight="true" outlineLevel="0" collapsed="false">
      <c r="A29" s="12" t="n">
        <v>28</v>
      </c>
      <c r="B29" s="12" t="s">
        <v>32</v>
      </c>
      <c r="C29" s="13" t="n">
        <v>46346</v>
      </c>
      <c r="D29" s="12"/>
      <c r="E29" s="12" t="s">
        <v>145</v>
      </c>
      <c r="F29" s="12"/>
      <c r="G29" s="12"/>
      <c r="H29" s="12"/>
      <c r="I29" s="12"/>
      <c r="J29" s="12"/>
      <c r="K29" s="12"/>
      <c r="L29" s="12"/>
      <c r="M29" s="12"/>
      <c r="N29" s="12" t="s">
        <v>146</v>
      </c>
    </row>
    <row r="30" customFormat="false" ht="45.75" hidden="false" customHeight="true" outlineLevel="0" collapsed="false">
      <c r="A30" s="6" t="n">
        <v>29</v>
      </c>
      <c r="B30" s="6" t="s">
        <v>44</v>
      </c>
      <c r="C30" s="7" t="n">
        <v>46348</v>
      </c>
      <c r="D30" s="6" t="s">
        <v>155</v>
      </c>
      <c r="E30" s="6" t="s">
        <v>156</v>
      </c>
      <c r="F30" s="6" t="s">
        <v>157</v>
      </c>
      <c r="G30" s="6" t="s">
        <v>158</v>
      </c>
      <c r="H30" s="6" t="s">
        <v>159</v>
      </c>
      <c r="I30" s="6" t="s">
        <v>160</v>
      </c>
      <c r="J30" s="6" t="s">
        <v>161</v>
      </c>
      <c r="K30" s="8" t="s">
        <v>162</v>
      </c>
      <c r="L30" s="6" t="s">
        <v>163</v>
      </c>
      <c r="M30" s="6" t="s">
        <v>164</v>
      </c>
      <c r="N30" s="6" t="s">
        <v>55</v>
      </c>
    </row>
    <row r="31" customFormat="false" ht="23.25" hidden="false" customHeight="true" outlineLevel="0" collapsed="false">
      <c r="A31" s="12" t="n">
        <v>30</v>
      </c>
      <c r="B31" s="12" t="s">
        <v>56</v>
      </c>
      <c r="C31" s="13" t="n">
        <v>46349</v>
      </c>
      <c r="D31" s="12"/>
      <c r="E31" s="12" t="s">
        <v>145</v>
      </c>
      <c r="F31" s="12"/>
      <c r="G31" s="12"/>
      <c r="H31" s="12"/>
      <c r="I31" s="12"/>
      <c r="J31" s="12"/>
      <c r="K31" s="12"/>
      <c r="L31" s="12"/>
      <c r="M31" s="12"/>
      <c r="N31" s="12" t="s">
        <v>146</v>
      </c>
    </row>
    <row r="32" customFormat="false" ht="23.25" hidden="false" customHeight="true" outlineLevel="0" collapsed="false">
      <c r="A32" s="12" t="n">
        <v>31</v>
      </c>
      <c r="B32" s="12" t="s">
        <v>65</v>
      </c>
      <c r="C32" s="13" t="n">
        <v>46351</v>
      </c>
      <c r="D32" s="12"/>
      <c r="E32" s="12" t="s">
        <v>145</v>
      </c>
      <c r="F32" s="12"/>
      <c r="G32" s="12"/>
      <c r="H32" s="12"/>
      <c r="I32" s="12"/>
      <c r="J32" s="12"/>
      <c r="K32" s="12"/>
      <c r="L32" s="12"/>
      <c r="M32" s="12"/>
      <c r="N32" s="12" t="s">
        <v>146</v>
      </c>
    </row>
    <row r="33" customFormat="false" ht="68.25" hidden="false" customHeight="true" outlineLevel="0" collapsed="false">
      <c r="A33" s="9" t="n">
        <v>32</v>
      </c>
      <c r="B33" s="9" t="s">
        <v>32</v>
      </c>
      <c r="C33" s="10" t="n">
        <v>46353</v>
      </c>
      <c r="D33" s="9" t="s">
        <v>75</v>
      </c>
      <c r="E33" s="9" t="s">
        <v>165</v>
      </c>
      <c r="F33" s="9" t="s">
        <v>166</v>
      </c>
      <c r="G33" s="9" t="s">
        <v>167</v>
      </c>
      <c r="H33" s="9" t="s">
        <v>168</v>
      </c>
      <c r="I33" s="9" t="s">
        <v>169</v>
      </c>
      <c r="J33" s="9" t="s">
        <v>170</v>
      </c>
      <c r="K33" s="11" t="s">
        <v>171</v>
      </c>
      <c r="L33" s="9" t="s">
        <v>172</v>
      </c>
      <c r="M33" s="9" t="s">
        <v>110</v>
      </c>
      <c r="N33" s="9" t="s">
        <v>55</v>
      </c>
    </row>
    <row r="34" customFormat="false" ht="23.25" hidden="false" customHeight="true" outlineLevel="0" collapsed="false">
      <c r="A34" s="12" t="n">
        <v>33</v>
      </c>
      <c r="B34" s="12" t="s">
        <v>44</v>
      </c>
      <c r="C34" s="13" t="n">
        <v>46355</v>
      </c>
      <c r="D34" s="12"/>
      <c r="E34" s="12" t="s">
        <v>145</v>
      </c>
      <c r="F34" s="12"/>
      <c r="G34" s="12"/>
      <c r="H34" s="12"/>
      <c r="I34" s="12"/>
      <c r="J34" s="12"/>
      <c r="K34" s="12"/>
      <c r="L34" s="12"/>
      <c r="M34" s="12"/>
      <c r="N34" s="12" t="s">
        <v>146</v>
      </c>
    </row>
    <row r="35" customFormat="false" ht="23.25" hidden="false" customHeight="true" outlineLevel="0" collapsed="false">
      <c r="A35" s="12" t="n">
        <v>34</v>
      </c>
      <c r="B35" s="12" t="s">
        <v>56</v>
      </c>
      <c r="C35" s="13" t="n">
        <v>46356</v>
      </c>
      <c r="D35" s="12"/>
      <c r="E35" s="12" t="s">
        <v>145</v>
      </c>
      <c r="F35" s="12"/>
      <c r="G35" s="12"/>
      <c r="H35" s="12"/>
      <c r="I35" s="12"/>
      <c r="J35" s="12"/>
      <c r="K35" s="12"/>
      <c r="L35" s="12"/>
      <c r="M35" s="12"/>
      <c r="N35" s="12" t="s">
        <v>146</v>
      </c>
    </row>
    <row r="36" customFormat="false" ht="23.25" hidden="false" customHeight="true" outlineLevel="0" collapsed="false">
      <c r="A36" s="12" t="n">
        <v>35</v>
      </c>
      <c r="B36" s="12" t="s">
        <v>65</v>
      </c>
      <c r="C36" s="13" t="n">
        <v>46358</v>
      </c>
      <c r="D36" s="12"/>
      <c r="E36" s="12" t="s">
        <v>145</v>
      </c>
      <c r="F36" s="12"/>
      <c r="G36" s="12"/>
      <c r="H36" s="12"/>
      <c r="I36" s="12"/>
      <c r="J36" s="12"/>
      <c r="K36" s="12"/>
      <c r="L36" s="12"/>
      <c r="M36" s="12"/>
      <c r="N36" s="12" t="s">
        <v>146</v>
      </c>
    </row>
    <row r="37" customFormat="false" ht="23.25" hidden="false" customHeight="true" outlineLevel="0" collapsed="false">
      <c r="A37" s="12" t="n">
        <v>36</v>
      </c>
      <c r="B37" s="12" t="s">
        <v>32</v>
      </c>
      <c r="C37" s="13" t="n">
        <v>46360</v>
      </c>
      <c r="D37" s="12"/>
      <c r="E37" s="12" t="s">
        <v>145</v>
      </c>
      <c r="F37" s="12"/>
      <c r="G37" s="12"/>
      <c r="H37" s="12"/>
      <c r="I37" s="12"/>
      <c r="J37" s="12"/>
      <c r="K37" s="12"/>
      <c r="L37" s="12"/>
      <c r="M37" s="12"/>
      <c r="N37" s="12" t="s">
        <v>146</v>
      </c>
    </row>
    <row r="38" customFormat="false" ht="23.25" hidden="false" customHeight="true" outlineLevel="0" collapsed="false">
      <c r="A38" s="12" t="n">
        <v>37</v>
      </c>
      <c r="B38" s="12" t="s">
        <v>44</v>
      </c>
      <c r="C38" s="13" t="n">
        <v>46362</v>
      </c>
      <c r="D38" s="12"/>
      <c r="E38" s="12" t="s">
        <v>145</v>
      </c>
      <c r="F38" s="12"/>
      <c r="G38" s="12"/>
      <c r="H38" s="12"/>
      <c r="I38" s="12"/>
      <c r="J38" s="12"/>
      <c r="K38" s="12"/>
      <c r="L38" s="12"/>
      <c r="M38" s="12"/>
      <c r="N38" s="12" t="s">
        <v>146</v>
      </c>
    </row>
    <row r="39" customFormat="false" ht="23.25" hidden="false" customHeight="true" outlineLevel="0" collapsed="false">
      <c r="A39" s="12" t="n">
        <v>38</v>
      </c>
      <c r="B39" s="12" t="s">
        <v>56</v>
      </c>
      <c r="C39" s="13" t="n">
        <v>46363</v>
      </c>
      <c r="D39" s="12"/>
      <c r="E39" s="12" t="s">
        <v>145</v>
      </c>
      <c r="F39" s="12"/>
      <c r="G39" s="12"/>
      <c r="H39" s="12"/>
      <c r="I39" s="12"/>
      <c r="J39" s="12"/>
      <c r="K39" s="12"/>
      <c r="L39" s="12"/>
      <c r="M39" s="12"/>
      <c r="N39" s="12" t="s">
        <v>146</v>
      </c>
    </row>
    <row r="40" customFormat="false" ht="57" hidden="false" customHeight="true" outlineLevel="0" collapsed="false">
      <c r="A40" s="6" t="n">
        <v>39</v>
      </c>
      <c r="B40" s="6" t="s">
        <v>65</v>
      </c>
      <c r="C40" s="7" t="n">
        <v>46365</v>
      </c>
      <c r="D40" s="6" t="s">
        <v>84</v>
      </c>
      <c r="E40" s="6" t="s">
        <v>173</v>
      </c>
      <c r="F40" s="6" t="s">
        <v>174</v>
      </c>
      <c r="G40" s="6" t="s">
        <v>175</v>
      </c>
      <c r="H40" s="6" t="s">
        <v>176</v>
      </c>
      <c r="I40" s="6" t="s">
        <v>177</v>
      </c>
      <c r="J40" s="6" t="s">
        <v>178</v>
      </c>
      <c r="K40" s="8" t="s">
        <v>179</v>
      </c>
      <c r="L40" s="6" t="s">
        <v>180</v>
      </c>
      <c r="M40" s="6" t="s">
        <v>54</v>
      </c>
      <c r="N40" s="6" t="s">
        <v>55</v>
      </c>
    </row>
    <row r="41" customFormat="false" ht="23.25" hidden="false" customHeight="true" outlineLevel="0" collapsed="false">
      <c r="A41" s="12" t="n">
        <v>40</v>
      </c>
      <c r="B41" s="12" t="s">
        <v>32</v>
      </c>
      <c r="C41" s="13" t="n">
        <v>46367</v>
      </c>
      <c r="D41" s="12"/>
      <c r="E41" s="12" t="s">
        <v>145</v>
      </c>
      <c r="F41" s="12"/>
      <c r="G41" s="12"/>
      <c r="H41" s="12"/>
      <c r="I41" s="12"/>
      <c r="J41" s="12"/>
      <c r="K41" s="12"/>
      <c r="L41" s="12"/>
      <c r="M41" s="12"/>
      <c r="N41" s="12" t="s">
        <v>146</v>
      </c>
    </row>
    <row r="42" customFormat="false" ht="23.25" hidden="false" customHeight="true" outlineLevel="0" collapsed="false">
      <c r="A42" s="12" t="n">
        <v>41</v>
      </c>
      <c r="B42" s="12" t="s">
        <v>44</v>
      </c>
      <c r="C42" s="13" t="n">
        <v>46369</v>
      </c>
      <c r="D42" s="12"/>
      <c r="E42" s="12" t="s">
        <v>145</v>
      </c>
      <c r="F42" s="12"/>
      <c r="G42" s="12"/>
      <c r="H42" s="12"/>
      <c r="I42" s="12"/>
      <c r="J42" s="12"/>
      <c r="K42" s="12"/>
      <c r="L42" s="12"/>
      <c r="M42" s="12"/>
      <c r="N42" s="12" t="s">
        <v>146</v>
      </c>
    </row>
    <row r="43" customFormat="false" ht="23.25" hidden="false" customHeight="true" outlineLevel="0" collapsed="false">
      <c r="A43" s="12" t="n">
        <v>42</v>
      </c>
      <c r="B43" s="12" t="s">
        <v>56</v>
      </c>
      <c r="C43" s="13" t="n">
        <v>46370</v>
      </c>
      <c r="D43" s="12"/>
      <c r="E43" s="12" t="s">
        <v>145</v>
      </c>
      <c r="F43" s="12"/>
      <c r="G43" s="12"/>
      <c r="H43" s="12"/>
      <c r="I43" s="12"/>
      <c r="J43" s="12"/>
      <c r="K43" s="12"/>
      <c r="L43" s="12"/>
      <c r="M43" s="12"/>
      <c r="N43" s="12" t="s">
        <v>146</v>
      </c>
    </row>
    <row r="44" customFormat="false" ht="68.25" hidden="false" customHeight="true" outlineLevel="0" collapsed="false">
      <c r="A44" s="9" t="n">
        <v>43</v>
      </c>
      <c r="B44" s="9" t="s">
        <v>65</v>
      </c>
      <c r="C44" s="10" t="n">
        <v>46372</v>
      </c>
      <c r="D44" s="9" t="s">
        <v>84</v>
      </c>
      <c r="E44" s="9" t="s">
        <v>181</v>
      </c>
      <c r="F44" s="9" t="s">
        <v>182</v>
      </c>
      <c r="G44" s="9" t="s">
        <v>183</v>
      </c>
      <c r="H44" s="9" t="s">
        <v>184</v>
      </c>
      <c r="I44" s="9" t="s">
        <v>185</v>
      </c>
      <c r="J44" s="9" t="s">
        <v>186</v>
      </c>
      <c r="K44" s="11" t="s">
        <v>187</v>
      </c>
      <c r="L44" s="9" t="s">
        <v>188</v>
      </c>
      <c r="M44" s="9" t="s">
        <v>189</v>
      </c>
      <c r="N44" s="9" t="s">
        <v>55</v>
      </c>
    </row>
    <row r="45" customFormat="false" ht="23.25" hidden="false" customHeight="true" outlineLevel="0" collapsed="false">
      <c r="A45" s="12" t="n">
        <v>44</v>
      </c>
      <c r="B45" s="12" t="s">
        <v>32</v>
      </c>
      <c r="C45" s="13" t="n">
        <v>46374</v>
      </c>
      <c r="D45" s="12"/>
      <c r="E45" s="12" t="s">
        <v>145</v>
      </c>
      <c r="F45" s="12"/>
      <c r="G45" s="12"/>
      <c r="H45" s="12"/>
      <c r="I45" s="12"/>
      <c r="J45" s="12"/>
      <c r="K45" s="12"/>
      <c r="L45" s="12"/>
      <c r="M45" s="12"/>
      <c r="N45" s="12" t="s">
        <v>146</v>
      </c>
    </row>
    <row r="46" customFormat="false" ht="23.25" hidden="false" customHeight="true" outlineLevel="0" collapsed="false">
      <c r="A46" s="12" t="n">
        <v>45</v>
      </c>
      <c r="B46" s="12" t="s">
        <v>44</v>
      </c>
      <c r="C46" s="13" t="n">
        <v>46376</v>
      </c>
      <c r="D46" s="12"/>
      <c r="E46" s="12" t="s">
        <v>145</v>
      </c>
      <c r="F46" s="12"/>
      <c r="G46" s="12"/>
      <c r="H46" s="12"/>
      <c r="I46" s="12"/>
      <c r="J46" s="12"/>
      <c r="K46" s="12"/>
      <c r="L46" s="12"/>
      <c r="M46" s="12"/>
      <c r="N46" s="12" t="s">
        <v>146</v>
      </c>
    </row>
  </sheetData>
  <autoFilter ref="A1:N46"/>
  <dataValidations count="1">
    <dataValidation allowBlank="true" errorStyle="stop" operator="between" showDropDown="false" showErrorMessage="false" showInputMessage="false" sqref="N2:N46"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190</v>
      </c>
      <c r="B1" s="14" t="s">
        <v>191</v>
      </c>
    </row>
    <row r="2" customFormat="false" ht="15" hidden="false" customHeight="true" outlineLevel="0" collapsed="false">
      <c r="A2" s="15" t="s">
        <v>192</v>
      </c>
      <c r="B2" s="15" t="n">
        <f aca="false">COUNTA('Lịch đăng'!$A$2:$A$46)</f>
        <v>45</v>
      </c>
    </row>
    <row r="3" customFormat="false" ht="15" hidden="false" customHeight="true" outlineLevel="0" collapsed="false">
      <c r="A3" s="15" t="s">
        <v>26</v>
      </c>
      <c r="B3" s="15" t="n">
        <f aca="false">COUNTIF('Lịch đăng'!$N$2:$N$46,"Đã đăng")</f>
        <v>3</v>
      </c>
    </row>
    <row r="4" customFormat="false" ht="15" hidden="false" customHeight="true" outlineLevel="0" collapsed="false">
      <c r="A4" s="15" t="s">
        <v>193</v>
      </c>
      <c r="B4" s="15" t="n">
        <f aca="false">COUNTIF('Lịch đăng'!$N$2:$N$46,"Cần chủ đề")</f>
        <v>25</v>
      </c>
    </row>
    <row r="5" customFormat="false" ht="15" hidden="false" customHeight="true" outlineLevel="0" collapsed="false">
      <c r="A5" s="15" t="s">
        <v>194</v>
      </c>
      <c r="B5" s="15"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2026-10-07T13:33:24Z</dcterms:created>
  <dc:creator>openpyxl</dc:creator>
  <dc:description/>
  <dc:language>en-US</dc:language>
  <cp:lastModifiedBy/>
  <dcterms:modified xsi:type="dcterms:W3CDTF">2026-10-07T13:53:18Z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